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O B" sheetId="1" r:id="rId5"/>
    <sheet state="visible" name="Calculo Magico" sheetId="2" r:id="rId6"/>
    <sheet state="visible" name="APURAÇÃO DOS VOTOS" sheetId="3" r:id="rId7"/>
  </sheets>
  <definedNames/>
  <calcPr/>
</workbook>
</file>

<file path=xl/sharedStrings.xml><?xml version="1.0" encoding="utf-8"?>
<sst xmlns="http://schemas.openxmlformats.org/spreadsheetml/2006/main" count="274" uniqueCount="87">
  <si>
    <t>PROGRESSISTAS</t>
  </si>
  <si>
    <t>PSD</t>
  </si>
  <si>
    <t>MDB</t>
  </si>
  <si>
    <t>UB</t>
  </si>
  <si>
    <t>PL</t>
  </si>
  <si>
    <t>PT</t>
  </si>
  <si>
    <t>AGUINALDO</t>
  </si>
  <si>
    <t>EVERALDO</t>
  </si>
  <si>
    <t>ALDO</t>
  </si>
  <si>
    <t>ARILTON</t>
  </si>
  <si>
    <t>DAURI</t>
  </si>
  <si>
    <t>LUIZ</t>
  </si>
  <si>
    <t>BRUNO</t>
  </si>
  <si>
    <t>GUI</t>
  </si>
  <si>
    <t>BIANCA</t>
  </si>
  <si>
    <t>GABRIEL</t>
  </si>
  <si>
    <t>JANAINA</t>
  </si>
  <si>
    <t>LUCIANA</t>
  </si>
  <si>
    <t>CELINHO</t>
  </si>
  <si>
    <t>GUTO</t>
  </si>
  <si>
    <t>DEDI</t>
  </si>
  <si>
    <t>NANDO</t>
  </si>
  <si>
    <t>JUBA</t>
  </si>
  <si>
    <t>ZENON</t>
  </si>
  <si>
    <t>CESINHA</t>
  </si>
  <si>
    <t>IVOLI</t>
  </si>
  <si>
    <t>DINHO</t>
  </si>
  <si>
    <t>PATRICIA</t>
  </si>
  <si>
    <t>MANECA</t>
  </si>
  <si>
    <t>FABRICIO</t>
  </si>
  <si>
    <t>JUNINHO</t>
  </si>
  <si>
    <t>NICE</t>
  </si>
  <si>
    <t>PRISCILLA</t>
  </si>
  <si>
    <t>VALDEMAR</t>
  </si>
  <si>
    <t>FRANCIELE</t>
  </si>
  <si>
    <t>NARA</t>
  </si>
  <si>
    <t>ZOINHO</t>
  </si>
  <si>
    <t>TIAGO</t>
  </si>
  <si>
    <t>VALDIR</t>
  </si>
  <si>
    <t>KARINA</t>
  </si>
  <si>
    <t>RAQUEL</t>
  </si>
  <si>
    <t>ROBINHO</t>
  </si>
  <si>
    <t>RONALDO</t>
  </si>
  <si>
    <t>RUANITO</t>
  </si>
  <si>
    <t>SERGIO</t>
  </si>
  <si>
    <t>VANESSA</t>
  </si>
  <si>
    <t>TOMAZIA</t>
  </si>
  <si>
    <t xml:space="preserve">TOTAL </t>
  </si>
  <si>
    <t>QUOCIENTE PARTIDÁRIO</t>
  </si>
  <si>
    <t>CALCULO DAS SOBRAS</t>
  </si>
  <si>
    <t>TOTAL DE VOTOS</t>
  </si>
  <si>
    <t>QUOCIENTE</t>
  </si>
  <si>
    <t>PARTIDO</t>
  </si>
  <si>
    <t>VAGAS</t>
  </si>
  <si>
    <t>VAGAS AUTO</t>
  </si>
  <si>
    <t>PREFEITO</t>
  </si>
  <si>
    <t>PP</t>
  </si>
  <si>
    <t>FERNANDA</t>
  </si>
  <si>
    <t>ISAAC</t>
  </si>
  <si>
    <t>TOTAL</t>
  </si>
  <si>
    <t>VEREADORES MAIS VOTADOS</t>
  </si>
  <si>
    <t>VEREADORES MAIS VOTADOS POR PARTIDO</t>
  </si>
  <si>
    <t>AGUINALDO 330</t>
  </si>
  <si>
    <t>SERGIO 298</t>
  </si>
  <si>
    <t>VANESSA 285</t>
  </si>
  <si>
    <t>CELINHO 246</t>
  </si>
  <si>
    <t>Partido</t>
  </si>
  <si>
    <t>Quociente Partidario</t>
  </si>
  <si>
    <t>Sobras 1</t>
  </si>
  <si>
    <t>Sobras 2</t>
  </si>
  <si>
    <t>Sobras 3</t>
  </si>
  <si>
    <t>Sobras 4</t>
  </si>
  <si>
    <t>Sobras 5</t>
  </si>
  <si>
    <t>Sobras 6</t>
  </si>
  <si>
    <t>Sobras 7</t>
  </si>
  <si>
    <t>Sobras 8</t>
  </si>
  <si>
    <t>Sobras 9</t>
  </si>
  <si>
    <t>Total</t>
  </si>
  <si>
    <t>APURAÇÃO DOS VOTOS</t>
  </si>
  <si>
    <t>S  E  Ç  Ã  O</t>
  </si>
  <si>
    <t>CENTRO</t>
  </si>
  <si>
    <t>SOROCABA</t>
  </si>
  <si>
    <t>RIBEIRÃO</t>
  </si>
  <si>
    <t>FREITAS</t>
  </si>
  <si>
    <t>M. AGUDO</t>
  </si>
  <si>
    <t>PENHA</t>
  </si>
  <si>
    <t>AREIAS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</si>
</sst>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2.0"/>
      <color theme="1"/>
      <name val="Montserrat"/>
    </font>
    <font/>
    <font>
      <b/>
      <color theme="1"/>
      <name val="Arial"/>
      <scheme val="minor"/>
    </font>
    <font>
      <sz val="9.0"/>
      <color theme="1"/>
      <name val="Arial"/>
      <scheme val="minor"/>
    </font>
    <font>
      <sz val="10.0"/>
      <color theme="1"/>
      <name val="Montserrat"/>
    </font>
    <font>
      <sz val="12.0"/>
      <color theme="1"/>
      <name val="Montserrat"/>
    </font>
    <font>
      <color theme="1"/>
      <name val="Arial"/>
    </font>
    <font>
      <b/>
      <sz val="11.0"/>
      <color theme="1"/>
      <name val="Arial"/>
      <scheme val="minor"/>
    </font>
    <font>
      <b/>
      <sz val="10.0"/>
      <color theme="1"/>
      <name val="Arial"/>
      <scheme val="minor"/>
    </font>
    <font>
      <sz val="11.0"/>
      <color theme="1"/>
      <name val="Courier New"/>
    </font>
    <font>
      <b/>
      <sz val="10.0"/>
      <color theme="1"/>
      <name val="Montserrat"/>
    </font>
    <font>
      <b/>
      <sz val="11.0"/>
      <color theme="1"/>
      <name val="Montserrat"/>
    </font>
    <font>
      <sz val="11.0"/>
      <color theme="1"/>
      <name val="Montserrat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6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8E7CC3"/>
        <bgColor rgb="FF8E7CC3"/>
      </patternFill>
    </fill>
    <fill>
      <patternFill patternType="solid">
        <fgColor rgb="FFF9CB9C"/>
        <bgColor rgb="FFF9CB9C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1" fillId="2" fontId="1" numFmtId="0" xfId="0" applyAlignment="1" applyBorder="1" applyFont="1">
      <alignment horizontal="center"/>
    </xf>
    <xf borderId="0" fillId="0" fontId="3" numFmtId="0" xfId="0" applyFont="1"/>
    <xf borderId="3" fillId="3" fontId="1" numFmtId="0" xfId="0" applyAlignment="1" applyBorder="1" applyFill="1" applyFont="1">
      <alignment readingOrder="0"/>
    </xf>
    <xf borderId="3" fillId="3" fontId="1" numFmtId="0" xfId="0" applyAlignment="1" applyBorder="1" applyFont="1">
      <alignment horizontal="center"/>
    </xf>
    <xf borderId="3" fillId="0" fontId="1" numFmtId="0" xfId="0" applyAlignment="1" applyBorder="1" applyFont="1">
      <alignment readingOrder="0"/>
    </xf>
    <xf borderId="3" fillId="4" fontId="1" numFmtId="0" xfId="0" applyAlignment="1" applyBorder="1" applyFill="1" applyFont="1">
      <alignment horizontal="center"/>
    </xf>
    <xf borderId="3" fillId="0" fontId="1" numFmtId="0" xfId="0" applyBorder="1" applyFont="1"/>
    <xf borderId="3" fillId="3" fontId="1" numFmtId="0" xfId="0" applyBorder="1" applyFont="1"/>
    <xf borderId="3" fillId="5" fontId="1" numFmtId="0" xfId="0" applyBorder="1" applyFill="1" applyFont="1"/>
    <xf borderId="3" fillId="5" fontId="1" numFmtId="0" xfId="0" applyAlignment="1" applyBorder="1" applyFont="1">
      <alignment horizontal="center"/>
    </xf>
    <xf borderId="0" fillId="6" fontId="1" numFmtId="2" xfId="0" applyAlignment="1" applyFill="1" applyFont="1" applyNumberFormat="1">
      <alignment horizontal="center" readingOrder="0" shrinkToFit="0" vertical="center" wrapText="1"/>
    </xf>
    <xf borderId="0" fillId="6" fontId="1" numFmtId="2" xfId="0" applyFont="1" applyNumberFormat="1"/>
    <xf borderId="0" fillId="0" fontId="1" numFmtId="2" xfId="0" applyFont="1" applyNumberFormat="1"/>
    <xf borderId="0" fillId="0" fontId="3" numFmtId="2" xfId="0" applyFont="1" applyNumberFormat="1"/>
    <xf borderId="0" fillId="6" fontId="1" numFmtId="0" xfId="0" applyFont="1"/>
    <xf borderId="0" fillId="0" fontId="1" numFmtId="0" xfId="0" applyFont="1"/>
    <xf borderId="0" fillId="6" fontId="1" numFmtId="0" xfId="0" applyAlignment="1" applyFont="1">
      <alignment readingOrder="0"/>
    </xf>
    <xf borderId="0" fillId="7" fontId="1" numFmtId="2" xfId="0" applyAlignment="1" applyFill="1" applyFont="1" applyNumberFormat="1">
      <alignment horizontal="center" readingOrder="0" shrinkToFit="0" vertical="center" wrapText="1"/>
    </xf>
    <xf borderId="0" fillId="7" fontId="1" numFmtId="2" xfId="0" applyFont="1" applyNumberFormat="1"/>
    <xf borderId="0" fillId="7" fontId="1" numFmtId="0" xfId="0" applyAlignment="1" applyFont="1">
      <alignment readingOrder="0"/>
    </xf>
    <xf borderId="0" fillId="8" fontId="1" numFmtId="2" xfId="0" applyFill="1" applyFont="1" applyNumberFormat="1"/>
    <xf borderId="0" fillId="8" fontId="1" numFmtId="0" xfId="0" applyFont="1"/>
    <xf borderId="0" fillId="8" fontId="1" numFmtId="0" xfId="0" applyAlignment="1" applyFont="1">
      <alignment readingOrder="0"/>
    </xf>
    <xf borderId="1" fillId="7" fontId="1" numFmtId="0" xfId="0" applyAlignment="1" applyBorder="1" applyFont="1">
      <alignment horizontal="center" readingOrder="0"/>
    </xf>
    <xf borderId="3" fillId="7" fontId="1" numFmtId="0" xfId="0" applyAlignment="1" applyBorder="1" applyFont="1">
      <alignment horizontal="center"/>
    </xf>
    <xf borderId="1" fillId="9" fontId="1" numFmtId="0" xfId="0" applyAlignment="1" applyBorder="1" applyFill="1" applyFont="1">
      <alignment horizontal="center" readingOrder="0"/>
    </xf>
    <xf borderId="3" fillId="9" fontId="1" numFmtId="1" xfId="0" applyAlignment="1" applyBorder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3" fillId="2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4" xfId="0" applyFont="1" applyNumberFormat="1"/>
    <xf borderId="3" fillId="3" fontId="1" numFmtId="0" xfId="0" applyAlignment="1" applyBorder="1" applyFont="1">
      <alignment horizontal="center" readingOrder="0"/>
    </xf>
    <xf borderId="3" fillId="10" fontId="1" numFmtId="10" xfId="0" applyBorder="1" applyFill="1" applyFont="1" applyNumberFormat="1"/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/>
    </xf>
    <xf borderId="3" fillId="5" fontId="1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6" fontId="1" numFmtId="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3" numFmtId="2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6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6" fontId="1" numFmtId="0" xfId="0" applyAlignment="1" applyFont="1">
      <alignment horizontal="center"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1" fillId="2" fontId="1" numFmtId="0" xfId="0" applyAlignment="1" applyBorder="1" applyFont="1">
      <alignment horizontal="center" readingOrder="0" shrinkToFit="0" wrapText="1"/>
    </xf>
    <xf borderId="0" fillId="0" fontId="8" numFmtId="0" xfId="0" applyFont="1"/>
    <xf borderId="4" fillId="0" fontId="2" numFmtId="0" xfId="0" applyBorder="1" applyFont="1"/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0" fontId="9" numFmtId="0" xfId="0" applyFont="1"/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0" numFmtId="0" xfId="0" applyAlignment="1" applyFont="1">
      <alignment readingOrder="0"/>
    </xf>
    <xf borderId="0" fillId="0" fontId="13" numFmtId="0" xfId="0" applyFont="1"/>
    <xf borderId="0" fillId="0" fontId="5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14" numFmtId="0" xfId="0" applyFont="1"/>
    <xf borderId="0" fillId="0" fontId="15" numFmtId="0" xfId="0" applyFont="1"/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right" vertical="bottom"/>
    </xf>
    <xf borderId="0" fillId="0" fontId="16" numFmtId="0" xfId="0" applyAlignment="1" applyFont="1">
      <alignment horizontal="right" vertical="bottom"/>
    </xf>
    <xf borderId="0" fillId="0" fontId="17" numFmtId="0" xfId="0" applyAlignment="1" applyFont="1">
      <alignment readingOrder="0"/>
    </xf>
    <xf borderId="0" fillId="0" fontId="17" numFmtId="0" xfId="0" applyFont="1"/>
    <xf borderId="0" fillId="4" fontId="17" numFmtId="0" xfId="0" applyFont="1"/>
    <xf borderId="0" fillId="4" fontId="1" numFmtId="0" xfId="0" applyFont="1"/>
    <xf borderId="0" fillId="4" fontId="1" numFmtId="0" xfId="0" applyAlignment="1" applyFont="1">
      <alignment horizontal="center"/>
    </xf>
    <xf borderId="0" fillId="10" fontId="18" numFmtId="0" xfId="0" applyAlignment="1" applyFont="1">
      <alignment horizontal="center" readingOrder="0" shrinkToFit="0" vertical="center" wrapText="1"/>
    </xf>
    <xf borderId="1" fillId="10" fontId="19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center"/>
    </xf>
    <xf borderId="1" fillId="11" fontId="3" numFmtId="0" xfId="0" applyAlignment="1" applyBorder="1" applyFill="1" applyFont="1">
      <alignment horizontal="center" readingOrder="0" vertical="center"/>
    </xf>
    <xf borderId="3" fillId="11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3" fillId="1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3" fillId="12" fontId="1" numFmtId="0" xfId="0" applyAlignment="1" applyBorder="1" applyFill="1" applyFont="1">
      <alignment readingOrder="0" vertical="center"/>
    </xf>
    <xf borderId="3" fillId="12" fontId="3" numFmtId="0" xfId="0" applyAlignment="1" applyBorder="1" applyFont="1">
      <alignment horizontal="center" readingOrder="0" vertical="center"/>
    </xf>
    <xf borderId="3" fillId="4" fontId="1" numFmtId="0" xfId="0" applyAlignment="1" applyBorder="1" applyFont="1">
      <alignment readingOrder="0" vertical="center"/>
    </xf>
    <xf borderId="3" fillId="4" fontId="3" numFmtId="0" xfId="0" applyAlignment="1" applyBorder="1" applyFont="1">
      <alignment horizontal="center" readingOrder="0" vertical="center"/>
    </xf>
    <xf borderId="3" fillId="13" fontId="1" numFmtId="0" xfId="0" applyAlignment="1" applyBorder="1" applyFill="1" applyFont="1">
      <alignment horizontal="center" readingOrder="0" vertical="center"/>
    </xf>
    <xf borderId="3" fillId="4" fontId="3" numFmtId="0" xfId="0" applyAlignment="1" applyBorder="1" applyFont="1">
      <alignment horizontal="center" vertical="center"/>
    </xf>
    <xf borderId="3" fillId="3" fontId="1" numFmtId="0" xfId="0" applyAlignment="1" applyBorder="1" applyFont="1">
      <alignment readingOrder="0" vertical="center"/>
    </xf>
    <xf borderId="3" fillId="3" fontId="3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readingOrder="0" vertical="center"/>
    </xf>
    <xf borderId="3" fillId="0" fontId="3" numFmtId="0" xfId="0" applyAlignment="1" applyBorder="1" applyFont="1">
      <alignment horizontal="center" readingOrder="0" vertical="center"/>
    </xf>
    <xf borderId="0" fillId="13" fontId="18" numFmtId="0" xfId="0" applyAlignment="1" applyFont="1">
      <alignment horizontal="center" readingOrder="0" vertical="center"/>
    </xf>
    <xf borderId="0" fillId="0" fontId="18" numFmtId="0" xfId="0" applyAlignment="1" applyFont="1">
      <alignment vertical="center"/>
    </xf>
    <xf borderId="0" fillId="0" fontId="18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1" fillId="14" fontId="3" numFmtId="0" xfId="0" applyAlignment="1" applyBorder="1" applyFill="1" applyFont="1">
      <alignment horizontal="center" readingOrder="0" vertical="center"/>
    </xf>
    <xf borderId="3" fillId="0" fontId="3" numFmtId="0" xfId="0" applyAlignment="1" applyBorder="1" applyFont="1">
      <alignment readingOrder="0" vertical="center"/>
    </xf>
    <xf borderId="3" fillId="0" fontId="3" numFmtId="0" xfId="0" applyAlignment="1" applyBorder="1" applyFont="1">
      <alignment horizontal="center" vertical="center"/>
    </xf>
    <xf borderId="3" fillId="5" fontId="3" numFmtId="0" xfId="0" applyAlignment="1" applyBorder="1" applyFont="1">
      <alignment horizontal="center" vertical="center"/>
    </xf>
    <xf borderId="3" fillId="15" fontId="3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'PLANO B'!$G$23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'PLANO B'!$E$24:$E$27</c:f>
            </c:strRef>
          </c:cat>
          <c:val>
            <c:numRef>
              <c:f>'PLANO B'!$G$24:$G$26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'Calculo Magico'!$G$20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'Calculo Magico'!$E$21:$E$23</c:f>
            </c:strRef>
          </c:cat>
          <c:val>
            <c:numRef>
              <c:f>'Calculo Magico'!$G$21:$G$23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'Calculo Magico'!$R$50:$R$69</c:f>
            </c:strRef>
          </c:cat>
          <c:val>
            <c:numRef>
              <c:f>'Calculo Magico'!$Q$50:$Q$69</c:f>
              <c:numCache/>
            </c:numRef>
          </c:val>
        </c:ser>
        <c:axId val="993579263"/>
        <c:axId val="1567059739"/>
      </c:barChart>
      <c:catAx>
        <c:axId val="99357926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7059739"/>
      </c:catAx>
      <c:valAx>
        <c:axId val="15670597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357926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1152525</xdr:colOff>
      <xdr:row>18</xdr:row>
      <xdr:rowOff>190500</xdr:rowOff>
    </xdr:from>
    <xdr:ext cx="3838575" cy="23717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15</xdr:row>
      <xdr:rowOff>0</xdr:rowOff>
    </xdr:from>
    <xdr:ext cx="3505200" cy="217170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314325</xdr:colOff>
      <xdr:row>34</xdr:row>
      <xdr:rowOff>190500</xdr:rowOff>
    </xdr:from>
    <xdr:ext cx="6696075" cy="59912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5.38"/>
  </cols>
  <sheetData>
    <row r="1" ht="15.75" customHeight="1">
      <c r="A1" s="1" t="s">
        <v>0</v>
      </c>
      <c r="B1" s="2"/>
      <c r="C1" s="3" t="s">
        <v>1</v>
      </c>
      <c r="D1" s="2"/>
      <c r="E1" s="3" t="s">
        <v>2</v>
      </c>
      <c r="F1" s="2"/>
      <c r="G1" s="3" t="s">
        <v>3</v>
      </c>
      <c r="H1" s="2"/>
      <c r="I1" s="3" t="s">
        <v>4</v>
      </c>
      <c r="J1" s="2"/>
      <c r="K1" s="3" t="s">
        <v>5</v>
      </c>
      <c r="L1" s="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f>SUM('APURAÇÃO DOS VOTOS'!B8:Y8)</f>
        <v>330</v>
      </c>
      <c r="C2" s="5" t="s">
        <v>7</v>
      </c>
      <c r="D2" s="6">
        <f>SUM('APURAÇÃO DOS VOTOS'!B19:Y19)</f>
        <v>227</v>
      </c>
      <c r="E2" s="5" t="s">
        <v>8</v>
      </c>
      <c r="F2" s="6">
        <f>SUM('APURAÇÃO DOS VOTOS'!B30:Y30)</f>
        <v>64</v>
      </c>
      <c r="G2" s="5" t="s">
        <v>9</v>
      </c>
      <c r="H2" s="6">
        <f>SUM('APURAÇÃO DOS VOTOS'!B37:Y37)</f>
        <v>137</v>
      </c>
      <c r="I2" s="5" t="s">
        <v>10</v>
      </c>
      <c r="J2" s="6">
        <f>SUM('APURAÇÃO DOS VOTOS'!B44:Y44)</f>
        <v>192</v>
      </c>
      <c r="K2" s="5" t="s">
        <v>11</v>
      </c>
      <c r="L2" s="6">
        <f>SUM('APURAÇÃO DOS VOTOS'!B51:Y51)</f>
        <v>20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7" t="s">
        <v>12</v>
      </c>
      <c r="B3" s="8">
        <f>SUM('APURAÇÃO DOS VOTOS'!B9:Y9)</f>
        <v>174</v>
      </c>
      <c r="C3" s="7" t="s">
        <v>13</v>
      </c>
      <c r="D3" s="8">
        <f>SUM('APURAÇÃO DOS VOTOS'!B20:Y20)</f>
        <v>366</v>
      </c>
      <c r="E3" s="7" t="s">
        <v>14</v>
      </c>
      <c r="F3" s="8">
        <f>SUM('APURAÇÃO DOS VOTOS'!B31:Y31)</f>
        <v>317</v>
      </c>
      <c r="G3" s="7" t="s">
        <v>15</v>
      </c>
      <c r="H3" s="8">
        <f>SUM('APURAÇÃO DOS VOTOS'!B38:Y38)</f>
        <v>128</v>
      </c>
      <c r="I3" s="7" t="s">
        <v>16</v>
      </c>
      <c r="J3" s="8">
        <f>SUM('APURAÇÃO DOS VOTOS'!B45:Y45)</f>
        <v>181</v>
      </c>
      <c r="K3" s="7" t="s">
        <v>17</v>
      </c>
      <c r="L3" s="8">
        <f>SUM('APURAÇÃO DOS VOTOS'!B52:Y52)</f>
        <v>74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5" t="s">
        <v>18</v>
      </c>
      <c r="B4" s="6">
        <f>SUM('APURAÇÃO DOS VOTOS'!B10:Y10)</f>
        <v>246</v>
      </c>
      <c r="C4" s="5" t="s">
        <v>19</v>
      </c>
      <c r="D4" s="6">
        <f>SUM('APURAÇÃO DOS VOTOS'!B21:Y21)</f>
        <v>66</v>
      </c>
      <c r="E4" s="5" t="s">
        <v>20</v>
      </c>
      <c r="F4" s="6">
        <f>SUM('APURAÇÃO DOS VOTOS'!B32:Y32)</f>
        <v>228</v>
      </c>
      <c r="G4" s="5" t="s">
        <v>21</v>
      </c>
      <c r="H4" s="6">
        <f>SUM('APURAÇÃO DOS VOTOS'!B39:Y39)</f>
        <v>39</v>
      </c>
      <c r="I4" s="5" t="s">
        <v>22</v>
      </c>
      <c r="J4" s="6">
        <f>SUM('APURAÇÃO DOS VOTOS'!B46:Y46)</f>
        <v>78</v>
      </c>
      <c r="K4" s="5" t="s">
        <v>23</v>
      </c>
      <c r="L4" s="6">
        <f>SUM('APURAÇÃO DOS VOTOS'!B53:Y53)</f>
        <v>76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7" t="s">
        <v>24</v>
      </c>
      <c r="B5" s="8">
        <f>SUM('APURAÇÃO DOS VOTOS'!B11:Y11)</f>
        <v>158</v>
      </c>
      <c r="C5" s="7" t="s">
        <v>25</v>
      </c>
      <c r="D5" s="8">
        <f>SUM('APURAÇÃO DOS VOTOS'!B22:Y22)</f>
        <v>183</v>
      </c>
      <c r="E5" s="7" t="s">
        <v>26</v>
      </c>
      <c r="F5" s="8">
        <f>SUM('APURAÇÃO DOS VOTOS'!B33:Y33)</f>
        <v>167</v>
      </c>
      <c r="G5" s="7" t="s">
        <v>27</v>
      </c>
      <c r="H5" s="8">
        <f>SUM('APURAÇÃO DOS VOTOS'!B40:Y40)</f>
        <v>7</v>
      </c>
      <c r="I5" s="7" t="s">
        <v>28</v>
      </c>
      <c r="J5" s="8">
        <f>SUM('APURAÇÃO DOS VOTOS'!B47:Y47)</f>
        <v>38</v>
      </c>
      <c r="K5" s="9"/>
      <c r="L5" s="8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5" t="s">
        <v>29</v>
      </c>
      <c r="B6" s="6">
        <f>SUM('APURAÇÃO DOS VOTOS'!B12:Y12)</f>
        <v>511</v>
      </c>
      <c r="C6" s="5" t="s">
        <v>30</v>
      </c>
      <c r="D6" s="6">
        <f>SUM('APURAÇÃO DOS VOTOS'!B23:Y23)</f>
        <v>96</v>
      </c>
      <c r="E6" s="5" t="s">
        <v>31</v>
      </c>
      <c r="F6" s="6">
        <f>SUM('APURAÇÃO DOS VOTOS'!B34:Y34)</f>
        <v>3</v>
      </c>
      <c r="G6" s="5" t="s">
        <v>32</v>
      </c>
      <c r="H6" s="6">
        <f>SUM('APURAÇÃO DOS VOTOS'!B41:Y41)</f>
        <v>205</v>
      </c>
      <c r="I6" s="5" t="s">
        <v>33</v>
      </c>
      <c r="J6" s="6">
        <f>SUM('APURAÇÃO DOS VOTOS'!B48:Y48)</f>
        <v>19</v>
      </c>
      <c r="K6" s="10"/>
      <c r="L6" s="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7" t="s">
        <v>34</v>
      </c>
      <c r="B7" s="8">
        <f>SUM('APURAÇÃO DOS VOTOS'!B13:Y13)</f>
        <v>116</v>
      </c>
      <c r="C7" s="7" t="s">
        <v>35</v>
      </c>
      <c r="D7" s="8">
        <f>SUM('APURAÇÃO DOS VOTOS'!B24:Y24)</f>
        <v>55</v>
      </c>
      <c r="E7" s="7" t="s">
        <v>36</v>
      </c>
      <c r="F7" s="8">
        <f>SUM('APURAÇÃO DOS VOTOS'!B35:Y35)</f>
        <v>260</v>
      </c>
      <c r="G7" s="7" t="s">
        <v>37</v>
      </c>
      <c r="H7" s="8">
        <f>SUM('APURAÇÃO DOS VOTOS'!B42:Y42)</f>
        <v>167</v>
      </c>
      <c r="I7" s="7" t="s">
        <v>38</v>
      </c>
      <c r="J7" s="8">
        <f>SUM('APURAÇÃO DOS VOTOS'!B49:Y49)</f>
        <v>121</v>
      </c>
      <c r="K7" s="9"/>
      <c r="L7" s="8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5" t="s">
        <v>39</v>
      </c>
      <c r="B8" s="6">
        <f>SUM('APURAÇÃO DOS VOTOS'!B14:Y14)</f>
        <v>36</v>
      </c>
      <c r="C8" s="5" t="s">
        <v>40</v>
      </c>
      <c r="D8" s="6">
        <f>SUM('APURAÇÃO DOS VOTOS'!B25:Y25)</f>
        <v>148</v>
      </c>
      <c r="E8" s="10"/>
      <c r="F8" s="6"/>
      <c r="G8" s="10"/>
      <c r="H8" s="6"/>
      <c r="I8" s="10"/>
      <c r="J8" s="6"/>
      <c r="K8" s="10"/>
      <c r="L8" s="6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7" t="s">
        <v>41</v>
      </c>
      <c r="B9" s="8">
        <f>SUM('APURAÇÃO DOS VOTOS'!B15:Y15)</f>
        <v>106</v>
      </c>
      <c r="C9" s="7" t="s">
        <v>42</v>
      </c>
      <c r="D9" s="8">
        <f>SUM('APURAÇÃO DOS VOTOS'!B26:Y26)</f>
        <v>31</v>
      </c>
      <c r="E9" s="9"/>
      <c r="F9" s="8"/>
      <c r="G9" s="9"/>
      <c r="H9" s="8"/>
      <c r="I9" s="9"/>
      <c r="J9" s="8"/>
      <c r="K9" s="9"/>
      <c r="L9" s="8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5" t="s">
        <v>43</v>
      </c>
      <c r="B10" s="6">
        <f>SUM('APURAÇÃO DOS VOTOS'!B16:Y16)</f>
        <v>206</v>
      </c>
      <c r="C10" s="5" t="s">
        <v>44</v>
      </c>
      <c r="D10" s="6">
        <f>SUM('APURAÇÃO DOS VOTOS'!B27:Y27)</f>
        <v>298</v>
      </c>
      <c r="E10" s="10"/>
      <c r="F10" s="6"/>
      <c r="G10" s="10"/>
      <c r="H10" s="6"/>
      <c r="I10" s="10"/>
      <c r="J10" s="6"/>
      <c r="K10" s="10"/>
      <c r="L10" s="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7" t="s">
        <v>45</v>
      </c>
      <c r="B11" s="8">
        <f>SUM('APURAÇÃO DOS VOTOS'!B17:Y17)</f>
        <v>285</v>
      </c>
      <c r="C11" s="7" t="s">
        <v>46</v>
      </c>
      <c r="D11" s="8">
        <f>SUM('APURAÇÃO DOS VOTOS'!B28:Y28)</f>
        <v>45</v>
      </c>
      <c r="E11" s="9"/>
      <c r="F11" s="8"/>
      <c r="G11" s="9"/>
      <c r="H11" s="8"/>
      <c r="I11" s="9"/>
      <c r="J11" s="8"/>
      <c r="K11" s="9"/>
      <c r="L11" s="8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1" t="s">
        <v>47</v>
      </c>
      <c r="B12" s="12">
        <f>SUM(B2:B11)</f>
        <v>2168</v>
      </c>
      <c r="C12" s="9"/>
      <c r="D12" s="12">
        <f>SUM(D2:D11)</f>
        <v>1515</v>
      </c>
      <c r="E12" s="9"/>
      <c r="F12" s="12">
        <f>SUM(F2:F11)</f>
        <v>1039</v>
      </c>
      <c r="G12" s="9"/>
      <c r="H12" s="12">
        <f>SUM(H2:H11)</f>
        <v>683</v>
      </c>
      <c r="I12" s="9"/>
      <c r="J12" s="12">
        <f>SUM(J2:J11)</f>
        <v>629</v>
      </c>
      <c r="K12" s="9"/>
      <c r="L12" s="12">
        <f>SUM(L2:L11)</f>
        <v>170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3" t="s">
        <v>48</v>
      </c>
      <c r="B13" s="14">
        <f>(B12/C21)</f>
        <v>3.145067698</v>
      </c>
      <c r="C13" s="15"/>
      <c r="D13" s="14">
        <f>D12/C21</f>
        <v>2.197775629</v>
      </c>
      <c r="E13" s="15"/>
      <c r="F13" s="14">
        <f>F12/C21</f>
        <v>1.507253385</v>
      </c>
      <c r="G13" s="15"/>
      <c r="H13" s="14">
        <f>H12/C21</f>
        <v>0.9908123791</v>
      </c>
      <c r="I13" s="15"/>
      <c r="J13" s="14">
        <f>J12/C21</f>
        <v>0.9124758221</v>
      </c>
      <c r="K13" s="15"/>
      <c r="L13" s="14">
        <f>L12/C21</f>
        <v>0.246615087</v>
      </c>
      <c r="M13" s="16"/>
      <c r="N13" s="16"/>
      <c r="O13" s="16"/>
      <c r="P13" s="16"/>
      <c r="Q13" s="16"/>
      <c r="R13" s="16"/>
      <c r="S13" s="16"/>
      <c r="T13" s="16"/>
      <c r="U13" s="4"/>
      <c r="V13" s="4"/>
      <c r="W13" s="4"/>
      <c r="X13" s="4"/>
      <c r="Y13" s="4"/>
      <c r="Z13" s="4"/>
    </row>
    <row r="14" ht="15.75" customHeight="1">
      <c r="B14" s="17">
        <f>Int(B13)</f>
        <v>3</v>
      </c>
      <c r="C14" s="18"/>
      <c r="D14" s="17">
        <f>INT(D13)</f>
        <v>2</v>
      </c>
      <c r="E14" s="18"/>
      <c r="F14" s="17">
        <f>INT(F13)</f>
        <v>1</v>
      </c>
      <c r="G14" s="18"/>
      <c r="H14" s="19">
        <f>INT(H13)</f>
        <v>0</v>
      </c>
      <c r="I14" s="18"/>
      <c r="J14" s="19">
        <f>INT(J13)</f>
        <v>0</v>
      </c>
      <c r="K14" s="18"/>
      <c r="L14" s="17">
        <f>INT(L13)</f>
        <v>0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20" t="s">
        <v>49</v>
      </c>
      <c r="B15" s="21">
        <f>B12/(B14+1)</f>
        <v>542</v>
      </c>
      <c r="C15" s="15"/>
      <c r="D15" s="21">
        <f>D12/(D14+1)</f>
        <v>505</v>
      </c>
      <c r="E15" s="15"/>
      <c r="F15" s="21">
        <f>F12/(F14+1)</f>
        <v>519.5</v>
      </c>
      <c r="G15" s="15"/>
      <c r="H15" s="21">
        <f>H12/(H14+1)</f>
        <v>683</v>
      </c>
      <c r="I15" s="15"/>
      <c r="J15" s="21">
        <f>J12/(J14+1)</f>
        <v>629</v>
      </c>
      <c r="K15" s="15"/>
      <c r="L15" s="21">
        <f>L12/(L14+1)</f>
        <v>170</v>
      </c>
      <c r="M15" s="16"/>
      <c r="N15" s="16"/>
      <c r="O15" s="16"/>
      <c r="P15" s="16"/>
      <c r="Q15" s="16"/>
      <c r="R15" s="16"/>
      <c r="S15" s="16"/>
      <c r="T15" s="16"/>
      <c r="U15" s="4"/>
      <c r="V15" s="4"/>
      <c r="W15" s="4"/>
      <c r="X15" s="4"/>
      <c r="Y15" s="4"/>
      <c r="Z15" s="4"/>
    </row>
    <row r="16" ht="15.75" customHeight="1">
      <c r="B16" s="22">
        <v>1.0</v>
      </c>
      <c r="C16" s="18"/>
      <c r="D16" s="22"/>
      <c r="E16" s="18"/>
      <c r="F16" s="22">
        <v>0.0</v>
      </c>
      <c r="G16" s="18"/>
      <c r="H16" s="22">
        <v>1.0</v>
      </c>
      <c r="I16" s="18"/>
      <c r="J16" s="22">
        <v>1.0</v>
      </c>
      <c r="K16" s="18"/>
      <c r="L16" s="22">
        <v>0.0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8"/>
      <c r="B17" s="23">
        <f>B12/((B14+B16)+1)</f>
        <v>433.6</v>
      </c>
      <c r="C17" s="18"/>
      <c r="D17" s="24">
        <f>D12/(D14+D16+1)</f>
        <v>505</v>
      </c>
      <c r="E17" s="18"/>
      <c r="F17" s="24">
        <f>F12/(F14+F16+1)</f>
        <v>519.5</v>
      </c>
      <c r="G17" s="18"/>
      <c r="H17" s="24">
        <f>H12/(H14+H16+1)</f>
        <v>341.5</v>
      </c>
      <c r="I17" s="18"/>
      <c r="J17" s="24">
        <f>J12/(J14+J16+1)</f>
        <v>314.5</v>
      </c>
      <c r="K17" s="18"/>
      <c r="L17" s="24">
        <f>L12/(L14+L16+1)</f>
        <v>170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8"/>
      <c r="B18" s="25"/>
      <c r="C18" s="18"/>
      <c r="D18" s="25">
        <v>0.0</v>
      </c>
      <c r="E18" s="18"/>
      <c r="F18" s="25">
        <v>0.0</v>
      </c>
      <c r="G18" s="18"/>
      <c r="H18" s="25">
        <v>0.0</v>
      </c>
      <c r="I18" s="18"/>
      <c r="J18" s="25">
        <v>0.0</v>
      </c>
      <c r="K18" s="18"/>
      <c r="L18" s="25">
        <v>0.0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26" t="s">
        <v>50</v>
      </c>
      <c r="B20" s="2"/>
      <c r="C20" s="27">
        <f>SUM(B12:L12)</f>
        <v>6204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8" t="s">
        <v>51</v>
      </c>
      <c r="B21" s="2"/>
      <c r="C21" s="29">
        <f>C20/9</f>
        <v>689.3333333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N22" s="18"/>
      <c r="O22" s="30"/>
      <c r="P22" s="30"/>
      <c r="Q22" s="30"/>
      <c r="R22" s="30"/>
      <c r="S22" s="30"/>
      <c r="T22" s="30"/>
      <c r="U22" s="4"/>
      <c r="V22" s="4"/>
      <c r="W22" s="4"/>
      <c r="X22" s="4"/>
      <c r="Y22" s="31"/>
      <c r="Z22" s="4"/>
    </row>
    <row r="23" ht="15.75" customHeight="1">
      <c r="A23" s="32" t="s">
        <v>52</v>
      </c>
      <c r="B23" s="32" t="s">
        <v>53</v>
      </c>
      <c r="C23" s="32" t="s">
        <v>54</v>
      </c>
      <c r="D23" s="18"/>
      <c r="E23" s="1" t="s">
        <v>55</v>
      </c>
      <c r="F23" s="2"/>
      <c r="G23" s="18"/>
      <c r="H23" s="18"/>
      <c r="I23" s="18"/>
      <c r="J23" s="18"/>
      <c r="N23" s="33"/>
      <c r="O23" s="34"/>
      <c r="P23" s="34"/>
      <c r="Q23" s="34"/>
      <c r="R23" s="34"/>
      <c r="S23" s="34"/>
      <c r="T23" s="34"/>
      <c r="U23" s="4"/>
      <c r="V23" s="4"/>
      <c r="W23" s="4"/>
      <c r="X23" s="4"/>
      <c r="Z23" s="4"/>
    </row>
    <row r="24" ht="15.75" customHeight="1">
      <c r="A24" s="35" t="s">
        <v>56</v>
      </c>
      <c r="B24" s="35">
        <f>B14+B16+B18</f>
        <v>4</v>
      </c>
      <c r="C24" s="35">
        <f>'Calculo Magico'!B20</f>
        <v>4</v>
      </c>
      <c r="E24" s="35" t="s">
        <v>57</v>
      </c>
      <c r="F24" s="6">
        <f>SUM('APURAÇÃO DOS VOTOS'!B4:Y4)</f>
        <v>3000</v>
      </c>
      <c r="G24" s="36">
        <f t="shared" ref="G24:G26" si="1">F24/(SUM($F$24:$F$26))</f>
        <v>0.4764173416</v>
      </c>
      <c r="H24" s="18"/>
      <c r="I24" s="18"/>
      <c r="J24" s="18"/>
      <c r="N24" s="33"/>
      <c r="O24" s="34"/>
      <c r="P24" s="34"/>
      <c r="Q24" s="34"/>
      <c r="R24" s="34"/>
      <c r="S24" s="34"/>
      <c r="T24" s="34"/>
      <c r="U24" s="4"/>
      <c r="V24" s="4"/>
      <c r="W24" s="4"/>
      <c r="X24" s="4"/>
      <c r="Y24" s="31"/>
      <c r="Z24" s="4"/>
    </row>
    <row r="25" ht="15.75" customHeight="1">
      <c r="A25" s="37" t="s">
        <v>1</v>
      </c>
      <c r="B25" s="38">
        <f>D14+D16+D18</f>
        <v>2</v>
      </c>
      <c r="C25" s="38">
        <f>'Calculo Magico'!B21</f>
        <v>2</v>
      </c>
      <c r="D25" s="18"/>
      <c r="E25" s="37" t="s">
        <v>37</v>
      </c>
      <c r="F25" s="8">
        <f>SUM('APURAÇÃO DOS VOTOS'!B5:Y5)</f>
        <v>2710</v>
      </c>
      <c r="G25" s="36">
        <f t="shared" si="1"/>
        <v>0.4303636652</v>
      </c>
      <c r="H25" s="18"/>
      <c r="I25" s="18"/>
      <c r="J25" s="18"/>
      <c r="N25" s="33"/>
      <c r="O25" s="34"/>
      <c r="P25" s="34"/>
      <c r="Q25" s="34"/>
      <c r="R25" s="34"/>
      <c r="S25" s="34"/>
      <c r="T25" s="34"/>
      <c r="U25" s="4"/>
      <c r="V25" s="4"/>
      <c r="W25" s="4"/>
      <c r="X25" s="4"/>
      <c r="Y25" s="31"/>
      <c r="Z25" s="4"/>
    </row>
    <row r="26" ht="15.75" customHeight="1">
      <c r="A26" s="35" t="s">
        <v>2</v>
      </c>
      <c r="B26" s="6">
        <f>F14+F16+F18</f>
        <v>1</v>
      </c>
      <c r="C26" s="35">
        <f>'Calculo Magico'!B22</f>
        <v>1</v>
      </c>
      <c r="D26" s="18"/>
      <c r="E26" s="35" t="s">
        <v>58</v>
      </c>
      <c r="F26" s="6">
        <f>SUM('APURAÇÃO DOS VOTOS'!B6:Y6)</f>
        <v>587</v>
      </c>
      <c r="G26" s="36">
        <f t="shared" si="1"/>
        <v>0.09321899317</v>
      </c>
      <c r="H26" s="18"/>
      <c r="I26" s="18"/>
      <c r="J26" s="18"/>
      <c r="N26" s="33"/>
      <c r="O26" s="34"/>
      <c r="P26" s="34"/>
      <c r="Q26" s="34"/>
      <c r="R26" s="34"/>
      <c r="S26" s="34"/>
      <c r="T26" s="34"/>
      <c r="U26" s="4"/>
      <c r="V26" s="4"/>
      <c r="W26" s="4"/>
      <c r="X26" s="4"/>
      <c r="Y26" s="4"/>
      <c r="Z26" s="4"/>
    </row>
    <row r="27" ht="15.75" customHeight="1">
      <c r="A27" s="38" t="s">
        <v>3</v>
      </c>
      <c r="B27" s="38">
        <f>H14+H16+H18</f>
        <v>1</v>
      </c>
      <c r="C27" s="38">
        <f>'Calculo Magico'!B23</f>
        <v>1</v>
      </c>
      <c r="D27" s="18"/>
      <c r="E27" s="39" t="s">
        <v>59</v>
      </c>
      <c r="F27" s="12">
        <f>SUM(F24:F26)</f>
        <v>6297</v>
      </c>
      <c r="G27" s="18"/>
      <c r="H27" s="18"/>
      <c r="I27" s="18"/>
      <c r="J27" s="18"/>
      <c r="N27" s="33"/>
      <c r="O27" s="34"/>
      <c r="P27" s="34"/>
      <c r="Q27" s="34"/>
      <c r="R27" s="34"/>
      <c r="S27" s="34"/>
      <c r="T27" s="34"/>
      <c r="U27" s="4"/>
      <c r="V27" s="4"/>
      <c r="W27" s="4"/>
      <c r="X27" s="4"/>
      <c r="Y27" s="4"/>
      <c r="Z27" s="4"/>
    </row>
    <row r="28" ht="15.75" customHeight="1">
      <c r="A28" s="6" t="s">
        <v>4</v>
      </c>
      <c r="B28" s="6">
        <f>J14+J16+J18</f>
        <v>1</v>
      </c>
      <c r="C28" s="35">
        <f>'Calculo Magico'!B24</f>
        <v>1</v>
      </c>
      <c r="D28" s="18"/>
      <c r="E28" s="18"/>
      <c r="F28" s="18"/>
      <c r="G28" s="18"/>
      <c r="H28" s="18"/>
      <c r="I28" s="18"/>
      <c r="J28" s="18"/>
      <c r="N28" s="33"/>
      <c r="O28" s="34"/>
      <c r="P28" s="34"/>
      <c r="Q28" s="34"/>
      <c r="R28" s="34"/>
      <c r="S28" s="34"/>
      <c r="T28" s="34"/>
      <c r="U28" s="4"/>
      <c r="V28" s="4"/>
      <c r="W28" s="4"/>
      <c r="X28" s="4"/>
      <c r="Y28" s="4"/>
      <c r="Z28" s="4"/>
    </row>
    <row r="29" ht="15.75" customHeight="1">
      <c r="A29" s="37" t="s">
        <v>5</v>
      </c>
      <c r="B29" s="38">
        <f>L14+L16+L18</f>
        <v>0</v>
      </c>
      <c r="C29" s="38">
        <f>'Calculo Magico'!B25</f>
        <v>0</v>
      </c>
      <c r="D29" s="18"/>
      <c r="E29" s="18"/>
      <c r="F29" s="18"/>
      <c r="G29" s="18"/>
      <c r="H29" s="18"/>
      <c r="I29" s="18"/>
      <c r="J29" s="18"/>
      <c r="N29" s="33"/>
      <c r="O29" s="34"/>
      <c r="P29" s="34"/>
      <c r="Q29" s="34"/>
      <c r="R29" s="34"/>
      <c r="S29" s="34"/>
      <c r="T29" s="34"/>
      <c r="U29" s="4"/>
      <c r="V29" s="4"/>
      <c r="W29" s="4"/>
      <c r="X29" s="4"/>
      <c r="Y29" s="4"/>
      <c r="Z29" s="4"/>
    </row>
    <row r="30" ht="15.75" customHeight="1">
      <c r="A30" s="18"/>
      <c r="B30" s="18"/>
      <c r="C30" s="18"/>
      <c r="D30" s="40"/>
      <c r="E30" s="18"/>
      <c r="F30" s="18"/>
      <c r="G30" s="18"/>
      <c r="H30" s="18"/>
      <c r="I30" s="18"/>
      <c r="J30" s="18"/>
      <c r="N30" s="33"/>
      <c r="O30" s="34"/>
      <c r="P30" s="34"/>
      <c r="Q30" s="34"/>
      <c r="R30" s="34"/>
      <c r="S30" s="34"/>
      <c r="T30" s="34"/>
      <c r="U30" s="4"/>
      <c r="V30" s="4"/>
      <c r="W30" s="4"/>
      <c r="X30" s="4"/>
      <c r="Y30" s="4"/>
      <c r="Z30" s="4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N31" s="33"/>
      <c r="O31" s="34"/>
      <c r="P31" s="34"/>
      <c r="Q31" s="34"/>
      <c r="R31" s="34"/>
      <c r="S31" s="34"/>
      <c r="T31" s="34"/>
      <c r="U31" s="4"/>
      <c r="V31" s="4"/>
      <c r="W31" s="4"/>
      <c r="X31" s="4"/>
      <c r="Y31" s="4"/>
      <c r="Z31" s="4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33"/>
      <c r="N32" s="18"/>
      <c r="O32" s="18"/>
      <c r="P32" s="18"/>
      <c r="Q32" s="18"/>
      <c r="R32" s="18"/>
      <c r="S32" s="18"/>
      <c r="T32" s="4"/>
      <c r="U32" s="4"/>
      <c r="V32" s="4"/>
      <c r="W32" s="4"/>
      <c r="X32" s="4"/>
      <c r="Y32" s="4"/>
      <c r="Z32" s="4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33"/>
      <c r="N33" s="18"/>
      <c r="O33" s="18"/>
      <c r="P33" s="18"/>
      <c r="Q33" s="33"/>
      <c r="R33" s="33"/>
      <c r="S33" s="33"/>
      <c r="T33" s="33"/>
      <c r="U33" s="33"/>
      <c r="V33" s="33"/>
      <c r="W33" s="33"/>
      <c r="X33" s="33"/>
      <c r="Y33" s="33"/>
      <c r="Z33" s="4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N34" s="18"/>
      <c r="O34" s="41"/>
      <c r="P34" s="42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O35" s="43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O36" s="4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O37" s="4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O38" s="4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O39" s="4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N40" s="4"/>
      <c r="O40" s="4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N41" s="4"/>
      <c r="O41" s="4"/>
      <c r="P41" s="4"/>
      <c r="Q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N42" s="4"/>
      <c r="O42" s="4"/>
      <c r="P42" s="4"/>
      <c r="Q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31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mergeCells count="11">
    <mergeCell ref="A15:A16"/>
    <mergeCell ref="A20:B20"/>
    <mergeCell ref="A21:B21"/>
    <mergeCell ref="E23:F23"/>
    <mergeCell ref="A1:B1"/>
    <mergeCell ref="C1:D1"/>
    <mergeCell ref="E1:F1"/>
    <mergeCell ref="G1:H1"/>
    <mergeCell ref="I1:J1"/>
    <mergeCell ref="K1:L1"/>
    <mergeCell ref="A13:A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5.38"/>
    <col customWidth="1" min="4" max="4" width="19.0"/>
    <col customWidth="1" min="5" max="13" width="15.38"/>
    <col customWidth="1" hidden="1" min="14" max="26" width="15.38"/>
  </cols>
  <sheetData>
    <row r="1" ht="15.75" customHeight="1">
      <c r="A1" s="1" t="s">
        <v>0</v>
      </c>
      <c r="B1" s="2"/>
      <c r="C1" s="3" t="s">
        <v>1</v>
      </c>
      <c r="D1" s="2"/>
      <c r="E1" s="3" t="s">
        <v>2</v>
      </c>
      <c r="F1" s="2"/>
      <c r="G1" s="3" t="s">
        <v>3</v>
      </c>
      <c r="H1" s="2"/>
      <c r="I1" s="3" t="s">
        <v>4</v>
      </c>
      <c r="J1" s="2"/>
      <c r="K1" s="3" t="s">
        <v>5</v>
      </c>
      <c r="L1" s="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f>SUM('APURAÇÃO DOS VOTOS'!B8:Y8)</f>
        <v>330</v>
      </c>
      <c r="C2" s="5" t="s">
        <v>7</v>
      </c>
      <c r="D2" s="6">
        <f>SUM('APURAÇÃO DOS VOTOS'!B19:Y19)</f>
        <v>227</v>
      </c>
      <c r="E2" s="5" t="s">
        <v>8</v>
      </c>
      <c r="F2" s="6">
        <f>SUM('APURAÇÃO DOS VOTOS'!B30:Y30)</f>
        <v>64</v>
      </c>
      <c r="G2" s="5" t="s">
        <v>9</v>
      </c>
      <c r="H2" s="6">
        <f>SUM('APURAÇÃO DOS VOTOS'!B37:Y37)</f>
        <v>137</v>
      </c>
      <c r="I2" s="5" t="s">
        <v>10</v>
      </c>
      <c r="J2" s="6">
        <f>SUM('APURAÇÃO DOS VOTOS'!B44:Y44)</f>
        <v>192</v>
      </c>
      <c r="K2" s="5" t="s">
        <v>11</v>
      </c>
      <c r="L2" s="6">
        <f>SUM('APURAÇÃO DOS VOTOS'!B51:Y51)</f>
        <v>20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7" t="s">
        <v>12</v>
      </c>
      <c r="B3" s="8">
        <f>SUM('APURAÇÃO DOS VOTOS'!B9:Y9)</f>
        <v>174</v>
      </c>
      <c r="C3" s="7" t="s">
        <v>13</v>
      </c>
      <c r="D3" s="8">
        <f>SUM('APURAÇÃO DOS VOTOS'!B20:Y20)</f>
        <v>366</v>
      </c>
      <c r="E3" s="7" t="s">
        <v>14</v>
      </c>
      <c r="F3" s="8">
        <f>SUM('APURAÇÃO DOS VOTOS'!B31:Y31)</f>
        <v>317</v>
      </c>
      <c r="G3" s="7" t="s">
        <v>15</v>
      </c>
      <c r="H3" s="8">
        <f>SUM('APURAÇÃO DOS VOTOS'!B38:Y38)</f>
        <v>128</v>
      </c>
      <c r="I3" s="7" t="s">
        <v>16</v>
      </c>
      <c r="J3" s="8">
        <f>SUM('APURAÇÃO DOS VOTOS'!B45:Y45)</f>
        <v>181</v>
      </c>
      <c r="K3" s="7" t="s">
        <v>17</v>
      </c>
      <c r="L3" s="8">
        <f>SUM('APURAÇÃO DOS VOTOS'!B52:Y52)</f>
        <v>74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5" t="s">
        <v>18</v>
      </c>
      <c r="B4" s="6">
        <f>SUM('APURAÇÃO DOS VOTOS'!B10:Y10)</f>
        <v>246</v>
      </c>
      <c r="C4" s="5" t="s">
        <v>19</v>
      </c>
      <c r="D4" s="6">
        <f>SUM('APURAÇÃO DOS VOTOS'!B21:Y21)</f>
        <v>66</v>
      </c>
      <c r="E4" s="5" t="s">
        <v>20</v>
      </c>
      <c r="F4" s="6">
        <f>SUM('APURAÇÃO DOS VOTOS'!B32:Y32)</f>
        <v>228</v>
      </c>
      <c r="G4" s="5" t="s">
        <v>21</v>
      </c>
      <c r="H4" s="6">
        <f>SUM('APURAÇÃO DOS VOTOS'!B39:Y39)</f>
        <v>39</v>
      </c>
      <c r="I4" s="5" t="s">
        <v>22</v>
      </c>
      <c r="J4" s="6">
        <f>SUM('APURAÇÃO DOS VOTOS'!B46:Y46)</f>
        <v>78</v>
      </c>
      <c r="K4" s="5" t="s">
        <v>23</v>
      </c>
      <c r="L4" s="6">
        <f>SUM('APURAÇÃO DOS VOTOS'!B53:Y53)</f>
        <v>76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7" t="s">
        <v>24</v>
      </c>
      <c r="B5" s="8">
        <f>SUM('APURAÇÃO DOS VOTOS'!B11:Y11)</f>
        <v>158</v>
      </c>
      <c r="C5" s="7" t="s">
        <v>25</v>
      </c>
      <c r="D5" s="8">
        <f>SUM('APURAÇÃO DOS VOTOS'!B22:Y22)</f>
        <v>183</v>
      </c>
      <c r="E5" s="7" t="s">
        <v>26</v>
      </c>
      <c r="F5" s="8">
        <f>SUM('APURAÇÃO DOS VOTOS'!B33:Y33)</f>
        <v>167</v>
      </c>
      <c r="G5" s="7" t="s">
        <v>27</v>
      </c>
      <c r="H5" s="8">
        <f>SUM('APURAÇÃO DOS VOTOS'!B40:Y40)</f>
        <v>7</v>
      </c>
      <c r="I5" s="7" t="s">
        <v>28</v>
      </c>
      <c r="J5" s="8">
        <f>SUM('APURAÇÃO DOS VOTOS'!B47:Y47)</f>
        <v>38</v>
      </c>
      <c r="K5" s="9"/>
      <c r="L5" s="8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5" t="s">
        <v>29</v>
      </c>
      <c r="B6" s="6">
        <f>SUM('APURAÇÃO DOS VOTOS'!B12:Y12)</f>
        <v>511</v>
      </c>
      <c r="C6" s="5" t="s">
        <v>30</v>
      </c>
      <c r="D6" s="6">
        <f>SUM('APURAÇÃO DOS VOTOS'!B23:Y23)</f>
        <v>96</v>
      </c>
      <c r="E6" s="5" t="s">
        <v>31</v>
      </c>
      <c r="F6" s="6">
        <f>SUM('APURAÇÃO DOS VOTOS'!B34:Y34)</f>
        <v>3</v>
      </c>
      <c r="G6" s="5" t="s">
        <v>32</v>
      </c>
      <c r="H6" s="6">
        <f>SUM('APURAÇÃO DOS VOTOS'!B41:Y41)</f>
        <v>205</v>
      </c>
      <c r="I6" s="5" t="s">
        <v>33</v>
      </c>
      <c r="J6" s="6">
        <f>SUM('APURAÇÃO DOS VOTOS'!B48:Y48)</f>
        <v>19</v>
      </c>
      <c r="K6" s="10"/>
      <c r="L6" s="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7" t="s">
        <v>34</v>
      </c>
      <c r="B7" s="8">
        <f>SUM('APURAÇÃO DOS VOTOS'!B13:Y13)</f>
        <v>116</v>
      </c>
      <c r="C7" s="7" t="s">
        <v>35</v>
      </c>
      <c r="D7" s="8">
        <f>SUM('APURAÇÃO DOS VOTOS'!B24:Y24)</f>
        <v>55</v>
      </c>
      <c r="E7" s="7" t="s">
        <v>36</v>
      </c>
      <c r="F7" s="8">
        <f>SUM('APURAÇÃO DOS VOTOS'!B35:Y35)</f>
        <v>260</v>
      </c>
      <c r="G7" s="7" t="s">
        <v>37</v>
      </c>
      <c r="H7" s="8">
        <f>SUM('APURAÇÃO DOS VOTOS'!B42:Y42)</f>
        <v>167</v>
      </c>
      <c r="I7" s="7" t="s">
        <v>38</v>
      </c>
      <c r="J7" s="8">
        <f>SUM('APURAÇÃO DOS VOTOS'!B49:Y49)</f>
        <v>121</v>
      </c>
      <c r="K7" s="9"/>
      <c r="L7" s="8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5" t="s">
        <v>39</v>
      </c>
      <c r="B8" s="6">
        <f>SUM('APURAÇÃO DOS VOTOS'!B14:Y14)</f>
        <v>36</v>
      </c>
      <c r="C8" s="5" t="s">
        <v>40</v>
      </c>
      <c r="D8" s="6">
        <f>SUM('APURAÇÃO DOS VOTOS'!B25:Y25)</f>
        <v>148</v>
      </c>
      <c r="E8" s="10"/>
      <c r="F8" s="6"/>
      <c r="G8" s="10"/>
      <c r="H8" s="6"/>
      <c r="I8" s="10"/>
      <c r="J8" s="6"/>
      <c r="K8" s="10"/>
      <c r="L8" s="6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7" t="s">
        <v>41</v>
      </c>
      <c r="B9" s="8">
        <f>SUM('APURAÇÃO DOS VOTOS'!B15:Y15)</f>
        <v>106</v>
      </c>
      <c r="C9" s="7" t="s">
        <v>42</v>
      </c>
      <c r="D9" s="8">
        <f>SUM('APURAÇÃO DOS VOTOS'!B26:Y26)</f>
        <v>31</v>
      </c>
      <c r="E9" s="9"/>
      <c r="F9" s="8"/>
      <c r="G9" s="9"/>
      <c r="H9" s="8"/>
      <c r="I9" s="9"/>
      <c r="J9" s="8"/>
      <c r="K9" s="9"/>
      <c r="L9" s="8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5" t="s">
        <v>43</v>
      </c>
      <c r="B10" s="6">
        <f>SUM('APURAÇÃO DOS VOTOS'!B16:Y16)</f>
        <v>206</v>
      </c>
      <c r="C10" s="5" t="s">
        <v>44</v>
      </c>
      <c r="D10" s="6">
        <f>SUM('APURAÇÃO DOS VOTOS'!B27:Y27)</f>
        <v>298</v>
      </c>
      <c r="E10" s="10"/>
      <c r="F10" s="6"/>
      <c r="G10" s="10"/>
      <c r="H10" s="6"/>
      <c r="I10" s="10"/>
      <c r="J10" s="6"/>
      <c r="K10" s="10"/>
      <c r="L10" s="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7" t="s">
        <v>45</v>
      </c>
      <c r="B11" s="8">
        <f>SUM('APURAÇÃO DOS VOTOS'!B17:Y17)</f>
        <v>285</v>
      </c>
      <c r="C11" s="7" t="s">
        <v>46</v>
      </c>
      <c r="D11" s="8">
        <f>SUM('APURAÇÃO DOS VOTOS'!B28:Y28)</f>
        <v>45</v>
      </c>
      <c r="E11" s="9"/>
      <c r="F11" s="8"/>
      <c r="G11" s="9"/>
      <c r="H11" s="8"/>
      <c r="I11" s="9"/>
      <c r="J11" s="8"/>
      <c r="K11" s="9"/>
      <c r="L11" s="8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1" t="s">
        <v>47</v>
      </c>
      <c r="B12" s="12">
        <f>SUM(B2:B11)</f>
        <v>2168</v>
      </c>
      <c r="C12" s="9"/>
      <c r="D12" s="12">
        <f>SUM(D2:D11)</f>
        <v>1515</v>
      </c>
      <c r="E12" s="9"/>
      <c r="F12" s="12">
        <f>SUM(F2:F11)</f>
        <v>1039</v>
      </c>
      <c r="G12" s="9"/>
      <c r="H12" s="12">
        <f>SUM(H2:H11)</f>
        <v>683</v>
      </c>
      <c r="I12" s="9"/>
      <c r="J12" s="12">
        <f>SUM(J2:J11)</f>
        <v>629</v>
      </c>
      <c r="K12" s="9"/>
      <c r="L12" s="12">
        <f>SUM(L2:L11)</f>
        <v>170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3" t="s">
        <v>48</v>
      </c>
      <c r="B13" s="45">
        <f>(B12/C17)</f>
        <v>3.145067698</v>
      </c>
      <c r="C13" s="46"/>
      <c r="D13" s="45">
        <f>D12/C17</f>
        <v>2.197775629</v>
      </c>
      <c r="E13" s="46"/>
      <c r="F13" s="45">
        <f>F12/C17</f>
        <v>1.507253385</v>
      </c>
      <c r="G13" s="46"/>
      <c r="H13" s="45">
        <f>H12/C17</f>
        <v>0.9908123791</v>
      </c>
      <c r="I13" s="46"/>
      <c r="J13" s="45">
        <f>J12/C17</f>
        <v>0.9124758221</v>
      </c>
      <c r="K13" s="46"/>
      <c r="L13" s="45">
        <f>L12/C17</f>
        <v>0.246615087</v>
      </c>
      <c r="M13" s="47"/>
      <c r="N13" s="47"/>
      <c r="O13" s="47"/>
      <c r="P13" s="47"/>
      <c r="Q13" s="47"/>
      <c r="R13" s="47"/>
      <c r="S13" s="47"/>
      <c r="T13" s="47"/>
      <c r="U13" s="48"/>
      <c r="V13" s="48"/>
      <c r="W13" s="48"/>
      <c r="X13" s="48"/>
      <c r="Y13" s="48"/>
      <c r="Z13" s="48"/>
    </row>
    <row r="14" ht="15.75" customHeight="1">
      <c r="B14" s="49">
        <f>Int(B13)</f>
        <v>3</v>
      </c>
      <c r="C14" s="50"/>
      <c r="D14" s="49">
        <f>INT(D13)</f>
        <v>2</v>
      </c>
      <c r="E14" s="50"/>
      <c r="F14" s="49">
        <f>INT(F13)</f>
        <v>1</v>
      </c>
      <c r="G14" s="50"/>
      <c r="H14" s="49">
        <f>INT(H13)</f>
        <v>0</v>
      </c>
      <c r="I14" s="50"/>
      <c r="J14" s="51">
        <f>INT(J13)</f>
        <v>0</v>
      </c>
      <c r="K14" s="50"/>
      <c r="L14" s="49">
        <f>INT(L13)</f>
        <v>0</v>
      </c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ht="15.75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26" t="s">
        <v>50</v>
      </c>
      <c r="B16" s="2"/>
      <c r="C16" s="27">
        <f>SUM(B12:L12)</f>
        <v>6204</v>
      </c>
      <c r="D16" s="18"/>
      <c r="E16" s="18"/>
      <c r="F16" s="18"/>
      <c r="G16" s="18"/>
      <c r="H16" s="18"/>
      <c r="I16" s="18"/>
      <c r="J16" s="18"/>
      <c r="K16" s="18"/>
      <c r="L16" s="18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28" t="s">
        <v>51</v>
      </c>
      <c r="B17" s="2"/>
      <c r="C17" s="29">
        <f>C16/9</f>
        <v>689.3333333</v>
      </c>
      <c r="D17" s="18"/>
      <c r="E17" s="18"/>
      <c r="F17" s="18"/>
      <c r="G17" s="18"/>
      <c r="H17" s="18"/>
      <c r="I17" s="18"/>
      <c r="J17" s="18"/>
      <c r="K17" s="18"/>
      <c r="L17" s="18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32" t="s">
        <v>52</v>
      </c>
      <c r="B19" s="32" t="s">
        <v>54</v>
      </c>
      <c r="D19" s="18"/>
      <c r="E19" s="18"/>
      <c r="F19" s="18"/>
      <c r="G19" s="18"/>
      <c r="H19" s="18"/>
      <c r="I19" s="18"/>
      <c r="J19" s="18"/>
      <c r="K19" s="18"/>
      <c r="L19" s="18"/>
      <c r="M19" s="16"/>
      <c r="N19" s="16"/>
      <c r="O19" s="16"/>
      <c r="P19" s="16"/>
      <c r="Q19" s="16"/>
      <c r="R19" s="16"/>
      <c r="S19" s="16"/>
      <c r="T19" s="16"/>
      <c r="U19" s="4"/>
      <c r="V19" s="4"/>
      <c r="W19" s="4"/>
      <c r="X19" s="4"/>
      <c r="Y19" s="4"/>
      <c r="Z19" s="4"/>
    </row>
    <row r="20" ht="15.75" customHeight="1">
      <c r="A20" s="35" t="s">
        <v>56</v>
      </c>
      <c r="B20" s="35">
        <f t="shared" ref="B20:B25" si="1">Z40</f>
        <v>4</v>
      </c>
      <c r="D20" s="18"/>
      <c r="E20" s="1" t="s">
        <v>55</v>
      </c>
      <c r="F20" s="2"/>
      <c r="G20" s="18"/>
      <c r="H20" s="18"/>
      <c r="I20" s="18"/>
      <c r="J20" s="18"/>
      <c r="K20" s="18"/>
      <c r="L20" s="18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7" t="s">
        <v>1</v>
      </c>
      <c r="B21" s="38">
        <f t="shared" si="1"/>
        <v>2</v>
      </c>
      <c r="D21" s="18"/>
      <c r="E21" s="35" t="s">
        <v>57</v>
      </c>
      <c r="F21" s="6">
        <f>SUM('APURAÇÃO DOS VOTOS'!B4:Y4)</f>
        <v>3000</v>
      </c>
      <c r="G21" s="36">
        <f t="shared" ref="G21:G23" si="2">F21/(SUM($F$24:$F$28))</f>
        <v>0.4764173416</v>
      </c>
      <c r="H21" s="18"/>
      <c r="I21" s="18"/>
      <c r="J21" s="18"/>
      <c r="K21" s="18"/>
      <c r="L21" s="18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5" t="s">
        <v>2</v>
      </c>
      <c r="B22" s="35">
        <f t="shared" si="1"/>
        <v>1</v>
      </c>
      <c r="D22" s="18"/>
      <c r="E22" s="37" t="s">
        <v>37</v>
      </c>
      <c r="F22" s="8">
        <f>SUM('APURAÇÃO DOS VOTOS'!B5:Y5)</f>
        <v>2710</v>
      </c>
      <c r="G22" s="36">
        <f t="shared" si="2"/>
        <v>0.4303636652</v>
      </c>
      <c r="H22" s="18"/>
      <c r="I22" s="18"/>
      <c r="J22" s="18"/>
      <c r="K22" s="18"/>
      <c r="L22" s="18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8" t="s">
        <v>3</v>
      </c>
      <c r="B23" s="38">
        <f t="shared" si="1"/>
        <v>1</v>
      </c>
      <c r="D23" s="18"/>
      <c r="E23" s="35" t="s">
        <v>58</v>
      </c>
      <c r="F23" s="6">
        <f>SUM('APURAÇÃO DOS VOTOS'!B6:Y6)</f>
        <v>587</v>
      </c>
      <c r="G23" s="36">
        <f t="shared" si="2"/>
        <v>0.09321899317</v>
      </c>
      <c r="H23" s="18"/>
      <c r="I23" s="18"/>
      <c r="J23" s="18"/>
      <c r="K23" s="18"/>
      <c r="L23" s="18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6" t="s">
        <v>4</v>
      </c>
      <c r="B24" s="35">
        <f t="shared" si="1"/>
        <v>1</v>
      </c>
      <c r="D24" s="18"/>
      <c r="E24" s="39" t="s">
        <v>59</v>
      </c>
      <c r="F24" s="12">
        <f>SUM(F21:F23)</f>
        <v>6297</v>
      </c>
      <c r="G24" s="18"/>
      <c r="H24" s="18"/>
      <c r="I24" s="18"/>
      <c r="J24" s="18"/>
      <c r="K24" s="18"/>
      <c r="L24" s="18"/>
      <c r="M24" s="18"/>
      <c r="N24" s="52" t="s">
        <v>50</v>
      </c>
      <c r="O24" s="53">
        <f>SUM(B16:L16)</f>
        <v>6204</v>
      </c>
      <c r="P24" s="54"/>
      <c r="Q24" s="54"/>
      <c r="R24" s="55"/>
      <c r="S24" s="55"/>
      <c r="T24" s="55"/>
      <c r="U24" s="55"/>
      <c r="V24" s="55"/>
      <c r="W24" s="55"/>
      <c r="X24" s="55"/>
      <c r="Y24" s="55"/>
      <c r="Z24" s="55"/>
    </row>
    <row r="25" ht="15.75" customHeight="1">
      <c r="A25" s="37" t="s">
        <v>5</v>
      </c>
      <c r="B25" s="38">
        <f t="shared" si="1"/>
        <v>0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56" t="s">
        <v>48</v>
      </c>
      <c r="O25" s="53">
        <f>Int((B16/($O$24/9)))</f>
        <v>0</v>
      </c>
      <c r="P25" s="53">
        <f>Int((D16/($O$24/9)))</f>
        <v>0</v>
      </c>
      <c r="Q25" s="53">
        <f>Int((F16/($O$24/9)))</f>
        <v>0</v>
      </c>
      <c r="R25" s="53">
        <f>Int((H16/($O$24/9)))</f>
        <v>0</v>
      </c>
      <c r="S25" s="53">
        <f>Int((J16/($O$24/9)))</f>
        <v>0</v>
      </c>
      <c r="T25" s="53">
        <f>Int((L16/($O$24/9)))</f>
        <v>0</v>
      </c>
      <c r="U25" s="55"/>
      <c r="V25" s="55"/>
      <c r="W25" s="55"/>
      <c r="X25" s="55"/>
      <c r="Y25" s="55"/>
      <c r="Z25" s="55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N26" s="54"/>
      <c r="O26" s="57"/>
      <c r="P26" s="57"/>
      <c r="Q26" s="57"/>
      <c r="R26" s="57"/>
      <c r="S26" s="57"/>
      <c r="T26" s="57"/>
      <c r="U26" s="55"/>
      <c r="V26" s="55"/>
      <c r="W26" s="55"/>
      <c r="X26" s="55"/>
      <c r="Y26" s="58"/>
      <c r="Z26" s="55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N27" s="54"/>
      <c r="O27" s="57" t="s">
        <v>56</v>
      </c>
      <c r="P27" s="57" t="s">
        <v>1</v>
      </c>
      <c r="Q27" s="57" t="s">
        <v>2</v>
      </c>
      <c r="R27" s="57" t="s">
        <v>3</v>
      </c>
      <c r="S27" s="57" t="s">
        <v>4</v>
      </c>
      <c r="T27" s="57" t="s">
        <v>5</v>
      </c>
      <c r="U27" s="55"/>
      <c r="V27" s="55"/>
      <c r="W27" s="55"/>
      <c r="X27" s="55"/>
      <c r="Y27" s="58"/>
      <c r="Z27" s="55"/>
    </row>
    <row r="28" ht="15.75" customHeight="1">
      <c r="A28" s="59" t="s">
        <v>60</v>
      </c>
      <c r="B28" s="2"/>
      <c r="C28" s="60"/>
      <c r="D28" s="59" t="s">
        <v>61</v>
      </c>
      <c r="E28" s="61"/>
      <c r="F28" s="61"/>
      <c r="G28" s="61"/>
      <c r="H28" s="61"/>
      <c r="I28" s="2"/>
      <c r="J28" s="18"/>
      <c r="N28" s="62">
        <v>1.0</v>
      </c>
      <c r="O28" s="63">
        <f t="shared" ref="O28:O36" si="3">$B$12/($O$21+N28)</f>
        <v>2168</v>
      </c>
      <c r="P28" s="63">
        <f t="shared" ref="P28:P36" si="4">$D$12/($P$21+N28)</f>
        <v>1515</v>
      </c>
      <c r="Q28" s="63">
        <f t="shared" ref="Q28:Q36" si="5">$F$12/($Q$21+N28)</f>
        <v>1039</v>
      </c>
      <c r="R28" s="63">
        <f t="shared" ref="R28:R36" si="6">$H$12/($R$21+N28)</f>
        <v>683</v>
      </c>
      <c r="S28" s="63">
        <f t="shared" ref="S28:S36" si="7">$J$12/($S$21+N28)</f>
        <v>629</v>
      </c>
      <c r="T28" s="63">
        <f t="shared" ref="T28:T36" si="8">$L$12/($T$21+N28)</f>
        <v>170</v>
      </c>
      <c r="U28" s="55"/>
      <c r="V28" s="55"/>
      <c r="W28" s="55"/>
      <c r="X28" s="55"/>
      <c r="Y28" s="55"/>
      <c r="Z28" s="55"/>
    </row>
    <row r="29" ht="15.75" customHeight="1">
      <c r="A29" s="64" t="str">
        <f>IFERROR(__xludf.DUMMYFUNCTION("SORT(ARRAYFORMULA(FLATTEN({
  A2:A11&amp;"" "" &amp;B2:B11&amp;"" ""&amp;""- PROGRESSISTAS"";
  C2:C11&amp;"" "" &amp;D2:D11&amp;"" ""&amp;""- PSD"";
  E2:E11&amp;"" "" &amp;F2:F11&amp;"" ""&amp;""- MDB"";
  G2:G11&amp;"" "" &amp;H2:H11&amp;"" ""&amp;""- UB"";
  I2:I11&amp;"" "" &amp;J2:J11&amp;"" ""&amp;""- PL"";
  K2:K11&amp;"" "" &amp;L2:"&amp;"L11&amp;"" ""&amp;""- PT""
})), ARRAYFORMULA(FLATTEN({
  B2:B11;D2:D11;F2:F11;H2:H11;J2:J11;L2:L11
})), FALSE)"),"FABRICIO 511 - PROGRESSISTAS")</f>
        <v>FABRICIO 511 - PROGRESSISTAS</v>
      </c>
      <c r="C29" s="60"/>
      <c r="D29" s="35" t="str">
        <f>A1</f>
        <v>PROGRESSISTAS</v>
      </c>
      <c r="E29" s="35" t="str">
        <f>C1</f>
        <v>PSD</v>
      </c>
      <c r="F29" s="35" t="str">
        <f>E1</f>
        <v>MDB</v>
      </c>
      <c r="G29" s="35" t="str">
        <f>G1</f>
        <v>UB</v>
      </c>
      <c r="H29" s="35" t="str">
        <f>I1</f>
        <v>PL</v>
      </c>
      <c r="I29" s="35" t="str">
        <f>K1</f>
        <v>PT</v>
      </c>
      <c r="J29" s="18"/>
      <c r="N29" s="62">
        <v>2.0</v>
      </c>
      <c r="O29" s="63">
        <f t="shared" si="3"/>
        <v>1084</v>
      </c>
      <c r="P29" s="63">
        <f t="shared" si="4"/>
        <v>757.5</v>
      </c>
      <c r="Q29" s="63">
        <f t="shared" si="5"/>
        <v>519.5</v>
      </c>
      <c r="R29" s="63">
        <f t="shared" si="6"/>
        <v>341.5</v>
      </c>
      <c r="S29" s="63">
        <f t="shared" si="7"/>
        <v>314.5</v>
      </c>
      <c r="T29" s="63">
        <f t="shared" si="8"/>
        <v>85</v>
      </c>
      <c r="U29" s="55"/>
      <c r="V29" s="55"/>
      <c r="W29" s="55"/>
      <c r="X29" s="55"/>
      <c r="Y29" s="58"/>
      <c r="Z29" s="55"/>
    </row>
    <row r="30" ht="15.75" customHeight="1">
      <c r="A30" s="64" t="str">
        <f>IFERROR(__xludf.DUMMYFUNCTION("""COMPUTED_VALUE"""),"GUI 366 - PSD")</f>
        <v>GUI 366 - PSD</v>
      </c>
      <c r="C30" s="60"/>
      <c r="D30" s="65" t="str">
        <f t="array" ref="D30:D33">IF(B20&gt;0, SORT(A2:A11 &amp; " " &amp; B2:B11, B2:B11, FALSE) , "")</f>
        <v>FABRICIO 511</v>
      </c>
      <c r="E30" s="65" t="str">
        <f t="array" ref="E30:E31">IF(B21&gt;0, SORT(C2:C11 &amp; " " &amp; D2:D11, D2:D11, FALSE) , "")</f>
        <v>GUI 366</v>
      </c>
      <c r="F30" s="65" t="str">
        <f t="array" ref="F30">IF(B22&gt;0, SORT(E2:E11 &amp; " " &amp; F2:F11, F2:F11, FALSE) , "")</f>
        <v>BIANCA 317</v>
      </c>
      <c r="G30" s="65" t="str">
        <f t="array" ref="G30">IF(B23&gt;0, SORT(G2:G11 &amp; " " &amp; H2:H11, H2:H11, FALSE) , "Não Há")</f>
        <v>PRISCILLA 205</v>
      </c>
      <c r="H30" s="65" t="str">
        <f t="array" ref="H30">IF(B24&gt;0, SORT(I2:I11 &amp; " " &amp; J2:J11, J2:J11, FALSE) , "Não Há")</f>
        <v>DAURI 192</v>
      </c>
      <c r="I30" s="65" t="str">
        <f t="array" ref="I30">IF(B25&gt;0, SORT(K2:K11 &amp; " " &amp; L2:L11, L2:L11, FALSE) , "Não Há")</f>
        <v>Não Há</v>
      </c>
      <c r="J30" s="18"/>
      <c r="N30" s="62">
        <v>3.0</v>
      </c>
      <c r="O30" s="63">
        <f t="shared" si="3"/>
        <v>722.6666667</v>
      </c>
      <c r="P30" s="63">
        <f t="shared" si="4"/>
        <v>505</v>
      </c>
      <c r="Q30" s="63">
        <f t="shared" si="5"/>
        <v>346.3333333</v>
      </c>
      <c r="R30" s="63">
        <f t="shared" si="6"/>
        <v>227.6666667</v>
      </c>
      <c r="S30" s="63">
        <f t="shared" si="7"/>
        <v>209.6666667</v>
      </c>
      <c r="T30" s="63">
        <f t="shared" si="8"/>
        <v>56.66666667</v>
      </c>
      <c r="U30" s="55"/>
      <c r="V30" s="55"/>
      <c r="W30" s="55"/>
      <c r="X30" s="55"/>
      <c r="Y30" s="58"/>
      <c r="Z30" s="55"/>
    </row>
    <row r="31" ht="15.75" customHeight="1">
      <c r="A31" s="64" t="str">
        <f>IFERROR(__xludf.DUMMYFUNCTION("""COMPUTED_VALUE"""),"AGUINALDO 330 - PROGRESSISTAS")</f>
        <v>AGUINALDO 330 - PROGRESSISTAS</v>
      </c>
      <c r="C31" s="60"/>
      <c r="D31" s="65" t="s">
        <v>62</v>
      </c>
      <c r="E31" s="65" t="s">
        <v>63</v>
      </c>
      <c r="F31" s="65"/>
      <c r="G31" s="65"/>
      <c r="H31" s="65"/>
      <c r="I31" s="65"/>
      <c r="J31" s="18"/>
      <c r="N31" s="62">
        <v>4.0</v>
      </c>
      <c r="O31" s="63">
        <f t="shared" si="3"/>
        <v>542</v>
      </c>
      <c r="P31" s="63">
        <f t="shared" si="4"/>
        <v>378.75</v>
      </c>
      <c r="Q31" s="63">
        <f t="shared" si="5"/>
        <v>259.75</v>
      </c>
      <c r="R31" s="63">
        <f t="shared" si="6"/>
        <v>170.75</v>
      </c>
      <c r="S31" s="63">
        <f t="shared" si="7"/>
        <v>157.25</v>
      </c>
      <c r="T31" s="63">
        <f t="shared" si="8"/>
        <v>42.5</v>
      </c>
      <c r="U31" s="55"/>
      <c r="V31" s="55"/>
      <c r="W31" s="55"/>
      <c r="X31" s="55"/>
      <c r="Y31" s="55"/>
      <c r="Z31" s="55"/>
    </row>
    <row r="32" ht="15.75" customHeight="1">
      <c r="A32" s="64" t="str">
        <f>IFERROR(__xludf.DUMMYFUNCTION("""COMPUTED_VALUE"""),"BIANCA 317 - MDB")</f>
        <v>BIANCA 317 - MDB</v>
      </c>
      <c r="C32" s="60"/>
      <c r="D32" s="65" t="s">
        <v>64</v>
      </c>
      <c r="E32" s="65"/>
      <c r="F32" s="65"/>
      <c r="G32" s="65"/>
      <c r="H32" s="65"/>
      <c r="I32" s="65"/>
      <c r="J32" s="18"/>
      <c r="N32" s="62">
        <v>5.0</v>
      </c>
      <c r="O32" s="63">
        <f t="shared" si="3"/>
        <v>433.6</v>
      </c>
      <c r="P32" s="63">
        <f t="shared" si="4"/>
        <v>303</v>
      </c>
      <c r="Q32" s="63">
        <f t="shared" si="5"/>
        <v>207.8</v>
      </c>
      <c r="R32" s="63">
        <f t="shared" si="6"/>
        <v>136.6</v>
      </c>
      <c r="S32" s="63">
        <f t="shared" si="7"/>
        <v>125.8</v>
      </c>
      <c r="T32" s="63">
        <f t="shared" si="8"/>
        <v>34</v>
      </c>
      <c r="U32" s="55"/>
      <c r="V32" s="55"/>
      <c r="W32" s="55"/>
      <c r="X32" s="55"/>
      <c r="Y32" s="55"/>
      <c r="Z32" s="55"/>
    </row>
    <row r="33" ht="15.75" customHeight="1">
      <c r="A33" s="64" t="str">
        <f>IFERROR(__xludf.DUMMYFUNCTION("""COMPUTED_VALUE"""),"SERGIO 298 - PSD")</f>
        <v>SERGIO 298 - PSD</v>
      </c>
      <c r="C33" s="60"/>
      <c r="D33" s="65" t="s">
        <v>65</v>
      </c>
      <c r="E33" s="65"/>
      <c r="F33" s="65"/>
      <c r="G33" s="65"/>
      <c r="H33" s="65"/>
      <c r="I33" s="18"/>
      <c r="J33" s="18"/>
      <c r="N33" s="62">
        <v>6.0</v>
      </c>
      <c r="O33" s="63">
        <f t="shared" si="3"/>
        <v>361.3333333</v>
      </c>
      <c r="P33" s="63">
        <f t="shared" si="4"/>
        <v>252.5</v>
      </c>
      <c r="Q33" s="63">
        <f t="shared" si="5"/>
        <v>173.1666667</v>
      </c>
      <c r="R33" s="63">
        <f t="shared" si="6"/>
        <v>113.8333333</v>
      </c>
      <c r="S33" s="63">
        <f t="shared" si="7"/>
        <v>104.8333333</v>
      </c>
      <c r="T33" s="63">
        <f t="shared" si="8"/>
        <v>28.33333333</v>
      </c>
      <c r="U33" s="55"/>
      <c r="V33" s="55"/>
      <c r="W33" s="55"/>
      <c r="X33" s="55"/>
      <c r="Y33" s="55"/>
      <c r="Z33" s="55"/>
    </row>
    <row r="34" ht="15.75" customHeight="1">
      <c r="A34" s="64" t="str">
        <f>IFERROR(__xludf.DUMMYFUNCTION("""COMPUTED_VALUE"""),"VANESSA 285 - PROGRESSISTAS")</f>
        <v>VANESSA 285 - PROGRESSISTAS</v>
      </c>
      <c r="C34" s="60"/>
      <c r="D34" s="65"/>
      <c r="E34" s="65"/>
      <c r="F34" s="65"/>
      <c r="G34" s="65"/>
      <c r="H34" s="65"/>
      <c r="I34" s="18"/>
      <c r="J34" s="18"/>
      <c r="N34" s="62">
        <v>7.0</v>
      </c>
      <c r="O34" s="63">
        <f t="shared" si="3"/>
        <v>309.7142857</v>
      </c>
      <c r="P34" s="63">
        <f t="shared" si="4"/>
        <v>216.4285714</v>
      </c>
      <c r="Q34" s="63">
        <f t="shared" si="5"/>
        <v>148.4285714</v>
      </c>
      <c r="R34" s="63">
        <f t="shared" si="6"/>
        <v>97.57142857</v>
      </c>
      <c r="S34" s="63">
        <f t="shared" si="7"/>
        <v>89.85714286</v>
      </c>
      <c r="T34" s="63">
        <f t="shared" si="8"/>
        <v>24.28571429</v>
      </c>
      <c r="U34" s="55"/>
      <c r="V34" s="55"/>
      <c r="W34" s="55"/>
      <c r="X34" s="55"/>
      <c r="Y34" s="55"/>
      <c r="Z34" s="55"/>
    </row>
    <row r="35" ht="15.75" customHeight="1">
      <c r="A35" s="66" t="str">
        <f>IFERROR(__xludf.DUMMYFUNCTION("""COMPUTED_VALUE"""),"ZOINHO 260 - MDB")</f>
        <v>ZOINHO 260 - MDB</v>
      </c>
      <c r="B35" s="18"/>
      <c r="C35" s="67"/>
      <c r="D35" s="68"/>
      <c r="E35" s="65"/>
      <c r="F35" s="65"/>
      <c r="G35" s="65"/>
      <c r="H35" s="65"/>
      <c r="I35" s="18"/>
      <c r="J35" s="18"/>
      <c r="N35" s="62">
        <v>8.0</v>
      </c>
      <c r="O35" s="63">
        <f t="shared" si="3"/>
        <v>271</v>
      </c>
      <c r="P35" s="63">
        <f t="shared" si="4"/>
        <v>189.375</v>
      </c>
      <c r="Q35" s="63">
        <f t="shared" si="5"/>
        <v>129.875</v>
      </c>
      <c r="R35" s="63">
        <f t="shared" si="6"/>
        <v>85.375</v>
      </c>
      <c r="S35" s="63">
        <f t="shared" si="7"/>
        <v>78.625</v>
      </c>
      <c r="T35" s="63">
        <f t="shared" si="8"/>
        <v>21.25</v>
      </c>
      <c r="U35" s="55"/>
      <c r="V35" s="55"/>
      <c r="W35" s="55"/>
      <c r="X35" s="55"/>
      <c r="Y35" s="55"/>
      <c r="Z35" s="55"/>
    </row>
    <row r="36" ht="15.75" customHeight="1">
      <c r="A36" s="66" t="str">
        <f>IFERROR(__xludf.DUMMYFUNCTION("""COMPUTED_VALUE"""),"CELINHO 246 - PROGRESSISTAS")</f>
        <v>CELINHO 246 - PROGRESSISTAS</v>
      </c>
      <c r="B36" s="18"/>
      <c r="C36" s="67"/>
      <c r="D36" s="65"/>
      <c r="E36" s="65"/>
      <c r="F36" s="18"/>
      <c r="G36" s="18"/>
      <c r="H36" s="18"/>
      <c r="I36" s="18"/>
      <c r="J36" s="18"/>
      <c r="N36" s="62">
        <v>9.0</v>
      </c>
      <c r="O36" s="63">
        <f t="shared" si="3"/>
        <v>240.8888889</v>
      </c>
      <c r="P36" s="63">
        <f t="shared" si="4"/>
        <v>168.3333333</v>
      </c>
      <c r="Q36" s="63">
        <f t="shared" si="5"/>
        <v>115.4444444</v>
      </c>
      <c r="R36" s="63">
        <f t="shared" si="6"/>
        <v>75.88888889</v>
      </c>
      <c r="S36" s="63">
        <f t="shared" si="7"/>
        <v>69.88888889</v>
      </c>
      <c r="T36" s="63">
        <f t="shared" si="8"/>
        <v>18.88888889</v>
      </c>
      <c r="U36" s="55"/>
      <c r="V36" s="55"/>
      <c r="W36" s="55"/>
      <c r="X36" s="55"/>
      <c r="Y36" s="55"/>
      <c r="Z36" s="55"/>
    </row>
    <row r="37" ht="15.75" customHeight="1">
      <c r="A37" s="66" t="str">
        <f>IFERROR(__xludf.DUMMYFUNCTION("""COMPUTED_VALUE"""),"DEDI 228 - MDB")</f>
        <v>DEDI 228 - MDB</v>
      </c>
      <c r="B37" s="18"/>
      <c r="C37" s="69"/>
      <c r="D37" s="65"/>
      <c r="E37" s="65"/>
      <c r="F37" s="18"/>
      <c r="G37" s="18"/>
      <c r="H37" s="18"/>
      <c r="I37" s="18"/>
      <c r="J37" s="18"/>
      <c r="K37" s="33"/>
      <c r="N37" s="54"/>
      <c r="O37" s="54"/>
      <c r="P37" s="54"/>
      <c r="Q37" s="54"/>
      <c r="R37" s="54"/>
      <c r="S37" s="54"/>
      <c r="T37" s="55"/>
      <c r="U37" s="55"/>
      <c r="V37" s="55"/>
      <c r="W37" s="55"/>
      <c r="X37" s="55"/>
      <c r="Y37" s="55"/>
      <c r="Z37" s="55"/>
    </row>
    <row r="38" ht="15.75" customHeight="1">
      <c r="A38" s="70" t="str">
        <f>IFERROR(__xludf.DUMMYFUNCTION("""COMPUTED_VALUE"""),"EVERALDO 227 - PSD")</f>
        <v>EVERALDO 227 - PSD</v>
      </c>
      <c r="B38" s="18"/>
      <c r="C38" s="69"/>
      <c r="D38" s="65"/>
      <c r="E38" s="65"/>
      <c r="F38" s="18"/>
      <c r="G38" s="18"/>
      <c r="H38" s="18"/>
      <c r="I38" s="18"/>
      <c r="J38" s="18"/>
      <c r="K38" s="33"/>
      <c r="N38" s="54"/>
      <c r="O38" s="54"/>
      <c r="P38" s="54"/>
      <c r="Q38" s="58"/>
      <c r="R38" s="62">
        <v>1.0</v>
      </c>
      <c r="S38" s="62">
        <v>2.0</v>
      </c>
      <c r="T38" s="62">
        <v>3.0</v>
      </c>
      <c r="U38" s="62">
        <v>4.0</v>
      </c>
      <c r="V38" s="62">
        <v>5.0</v>
      </c>
      <c r="W38" s="62">
        <v>6.0</v>
      </c>
      <c r="X38" s="62">
        <v>7.0</v>
      </c>
      <c r="Y38" s="62">
        <v>8.0</v>
      </c>
      <c r="Z38" s="55"/>
    </row>
    <row r="39" ht="15.75" customHeight="1">
      <c r="A39" s="70" t="str">
        <f>IFERROR(__xludf.DUMMYFUNCTION("""COMPUTED_VALUE"""),"RUANITO 206 - PROGRESSISTAS")</f>
        <v>RUANITO 206 - PROGRESSISTAS</v>
      </c>
      <c r="B39" s="18"/>
      <c r="C39" s="69"/>
      <c r="D39" s="65"/>
      <c r="E39" s="65"/>
      <c r="F39" s="18"/>
      <c r="G39" s="18"/>
      <c r="H39" s="18"/>
      <c r="I39" s="18"/>
      <c r="J39" s="18"/>
      <c r="K39" s="18"/>
      <c r="N39" s="54"/>
      <c r="O39" s="71" t="s">
        <v>66</v>
      </c>
      <c r="P39" s="72" t="s">
        <v>67</v>
      </c>
      <c r="Q39" s="71" t="s">
        <v>68</v>
      </c>
      <c r="R39" s="71" t="s">
        <v>69</v>
      </c>
      <c r="S39" s="71" t="s">
        <v>70</v>
      </c>
      <c r="T39" s="71" t="s">
        <v>71</v>
      </c>
      <c r="U39" s="71" t="s">
        <v>72</v>
      </c>
      <c r="V39" s="71" t="s">
        <v>73</v>
      </c>
      <c r="W39" s="71" t="s">
        <v>74</v>
      </c>
      <c r="X39" s="71" t="s">
        <v>75</v>
      </c>
      <c r="Y39" s="71" t="s">
        <v>76</v>
      </c>
      <c r="Z39" s="71" t="s">
        <v>77</v>
      </c>
    </row>
    <row r="40" ht="15.75" customHeight="1">
      <c r="A40" s="73" t="str">
        <f>IFERROR(__xludf.DUMMYFUNCTION("""COMPUTED_VALUE"""),"PRISCILLA 205 - UB")</f>
        <v>PRISCILLA 205 - UB</v>
      </c>
      <c r="B40" s="4"/>
      <c r="C40" s="74"/>
      <c r="D40" s="4"/>
      <c r="E40" s="4"/>
      <c r="F40" s="4"/>
      <c r="G40" s="4"/>
      <c r="H40" s="4"/>
      <c r="I40" s="4"/>
      <c r="J40" s="4"/>
      <c r="N40" s="55"/>
      <c r="O40" s="75" t="s">
        <v>56</v>
      </c>
      <c r="P40" s="76">
        <f>O25</f>
        <v>0</v>
      </c>
      <c r="Q40" s="76">
        <f t="shared" ref="Q40:Y40" si="9">IF(COUNTIF($O$28:$O$36, IFERROR(LARGE($O$28:$T$36, $P$47-Q38), 0)) &gt; 0, 1, 0)</f>
        <v>1</v>
      </c>
      <c r="R40" s="76">
        <f t="shared" si="9"/>
        <v>0</v>
      </c>
      <c r="S40" s="76">
        <f t="shared" si="9"/>
        <v>0</v>
      </c>
      <c r="T40" s="76">
        <f t="shared" si="9"/>
        <v>1</v>
      </c>
      <c r="U40" s="76">
        <f t="shared" si="9"/>
        <v>0</v>
      </c>
      <c r="V40" s="76">
        <f t="shared" si="9"/>
        <v>0</v>
      </c>
      <c r="W40" s="76">
        <f t="shared" si="9"/>
        <v>1</v>
      </c>
      <c r="X40" s="76">
        <f t="shared" si="9"/>
        <v>0</v>
      </c>
      <c r="Y40" s="76">
        <f t="shared" si="9"/>
        <v>1</v>
      </c>
      <c r="Z40" s="77">
        <f t="shared" ref="Z40:Z45" si="11">SUM(P40:Y40)</f>
        <v>4</v>
      </c>
    </row>
    <row r="41" ht="15.75" customHeight="1">
      <c r="A41" s="73" t="str">
        <f>IFERROR(__xludf.DUMMYFUNCTION("""COMPUTED_VALUE"""),"DAURI 192 - PL")</f>
        <v>DAURI 192 - PL</v>
      </c>
      <c r="B41" s="4"/>
      <c r="C41" s="74"/>
      <c r="D41" s="4"/>
      <c r="E41" s="4"/>
      <c r="F41" s="4"/>
      <c r="G41" s="4"/>
      <c r="H41" s="4"/>
      <c r="I41" s="4"/>
      <c r="J41" s="4"/>
      <c r="N41" s="55"/>
      <c r="O41" s="75" t="s">
        <v>1</v>
      </c>
      <c r="P41" s="76">
        <f>P25</f>
        <v>0</v>
      </c>
      <c r="Q41" s="76">
        <f t="shared" ref="Q41:Y41" si="10">IF(COUNTIF($P$28:$P$36, IFERROR(LARGE($O$28:$T$36, $P$47-Q38), 0)) &gt; 0, 1, 0)</f>
        <v>0</v>
      </c>
      <c r="R41" s="76">
        <f t="shared" si="10"/>
        <v>0</v>
      </c>
      <c r="S41" s="76">
        <f t="shared" si="10"/>
        <v>0</v>
      </c>
      <c r="T41" s="76">
        <f t="shared" si="10"/>
        <v>0</v>
      </c>
      <c r="U41" s="76">
        <f t="shared" si="10"/>
        <v>1</v>
      </c>
      <c r="V41" s="76">
        <f t="shared" si="10"/>
        <v>0</v>
      </c>
      <c r="W41" s="76">
        <f t="shared" si="10"/>
        <v>0</v>
      </c>
      <c r="X41" s="76">
        <f t="shared" si="10"/>
        <v>1</v>
      </c>
      <c r="Y41" s="76">
        <f t="shared" si="10"/>
        <v>0</v>
      </c>
      <c r="Z41" s="77">
        <f t="shared" si="11"/>
        <v>2</v>
      </c>
    </row>
    <row r="42" ht="15.75" customHeight="1">
      <c r="A42" s="73" t="str">
        <f>IFERROR(__xludf.DUMMYFUNCTION("""COMPUTED_VALUE"""),"IVOLI 183 - PSD")</f>
        <v>IVOLI 183 - PSD</v>
      </c>
      <c r="B42" s="4"/>
      <c r="C42" s="74"/>
      <c r="D42" s="4"/>
      <c r="E42" s="4"/>
      <c r="F42" s="4"/>
      <c r="G42" s="4"/>
      <c r="H42" s="4"/>
      <c r="I42" s="4"/>
      <c r="J42" s="4"/>
      <c r="N42" s="55"/>
      <c r="O42" s="75" t="s">
        <v>2</v>
      </c>
      <c r="P42" s="76">
        <f>Q25</f>
        <v>0</v>
      </c>
      <c r="Q42" s="76">
        <f t="shared" ref="Q42:Y42" si="12">IF(COUNTIF($Q$28:$Q$36, IFERROR(LARGE($O$28:$T$36, $P$47-Q38), 0)) &gt; 0, 1, 0)</f>
        <v>0</v>
      </c>
      <c r="R42" s="76">
        <f t="shared" si="12"/>
        <v>0</v>
      </c>
      <c r="S42" s="76">
        <f t="shared" si="12"/>
        <v>0</v>
      </c>
      <c r="T42" s="76">
        <f t="shared" si="12"/>
        <v>0</v>
      </c>
      <c r="U42" s="76">
        <f t="shared" si="12"/>
        <v>0</v>
      </c>
      <c r="V42" s="76">
        <f t="shared" si="12"/>
        <v>1</v>
      </c>
      <c r="W42" s="76">
        <f t="shared" si="12"/>
        <v>0</v>
      </c>
      <c r="X42" s="76">
        <f t="shared" si="12"/>
        <v>0</v>
      </c>
      <c r="Y42" s="76">
        <f t="shared" si="12"/>
        <v>0</v>
      </c>
      <c r="Z42" s="77">
        <f t="shared" si="11"/>
        <v>1</v>
      </c>
    </row>
    <row r="43" ht="15.75" customHeight="1">
      <c r="A43" s="73" t="str">
        <f>IFERROR(__xludf.DUMMYFUNCTION("""COMPUTED_VALUE"""),"JANAINA 181 - PL")</f>
        <v>JANAINA 181 - PL</v>
      </c>
      <c r="B43" s="4"/>
      <c r="C43" s="74"/>
      <c r="D43" s="4"/>
      <c r="E43" s="4"/>
      <c r="F43" s="4"/>
      <c r="G43" s="4"/>
      <c r="H43" s="4"/>
      <c r="I43" s="4"/>
      <c r="J43" s="4"/>
      <c r="N43" s="55"/>
      <c r="O43" s="75" t="s">
        <v>3</v>
      </c>
      <c r="P43" s="76">
        <f>R25</f>
        <v>0</v>
      </c>
      <c r="Q43" s="76">
        <f t="shared" ref="Q43:Y43" si="13">IF(COUNTIF($R$28:$R$36, IFERROR(LARGE($O$28:$T$36, $P$47-Q38), 0)) &gt; 0, 1, 0)</f>
        <v>0</v>
      </c>
      <c r="R43" s="76">
        <f t="shared" si="13"/>
        <v>0</v>
      </c>
      <c r="S43" s="76">
        <f t="shared" si="13"/>
        <v>1</v>
      </c>
      <c r="T43" s="76">
        <f t="shared" si="13"/>
        <v>0</v>
      </c>
      <c r="U43" s="76">
        <f t="shared" si="13"/>
        <v>0</v>
      </c>
      <c r="V43" s="76">
        <f t="shared" si="13"/>
        <v>0</v>
      </c>
      <c r="W43" s="76">
        <f t="shared" si="13"/>
        <v>0</v>
      </c>
      <c r="X43" s="76">
        <f t="shared" si="13"/>
        <v>0</v>
      </c>
      <c r="Y43" s="76">
        <f t="shared" si="13"/>
        <v>0</v>
      </c>
      <c r="Z43" s="77">
        <f t="shared" si="11"/>
        <v>1</v>
      </c>
    </row>
    <row r="44" ht="15.75" customHeight="1">
      <c r="A44" s="73" t="str">
        <f>IFERROR(__xludf.DUMMYFUNCTION("""COMPUTED_VALUE"""),"BRUNO 174 - PROGRESSISTAS")</f>
        <v>BRUNO 174 - PROGRESSISTAS</v>
      </c>
      <c r="B44" s="4"/>
      <c r="C44" s="74"/>
      <c r="D44" s="4"/>
      <c r="E44" s="4"/>
      <c r="F44" s="4"/>
      <c r="G44" s="4"/>
      <c r="H44" s="4"/>
      <c r="I44" s="4"/>
      <c r="J44" s="4"/>
      <c r="N44" s="55"/>
      <c r="O44" s="75" t="s">
        <v>4</v>
      </c>
      <c r="P44" s="76">
        <f>S25</f>
        <v>0</v>
      </c>
      <c r="Q44" s="76">
        <f t="shared" ref="Q44:Y44" si="14">IF(COUNTIF($S$28:$S$36, IFERROR(LARGE($O$28:$T$36, $P$47-Q38), 0)) &gt; 0, 1, 0)</f>
        <v>0</v>
      </c>
      <c r="R44" s="76">
        <f t="shared" si="14"/>
        <v>1</v>
      </c>
      <c r="S44" s="76">
        <f t="shared" si="14"/>
        <v>0</v>
      </c>
      <c r="T44" s="76">
        <f t="shared" si="14"/>
        <v>0</v>
      </c>
      <c r="U44" s="76">
        <f t="shared" si="14"/>
        <v>0</v>
      </c>
      <c r="V44" s="76">
        <f t="shared" si="14"/>
        <v>0</v>
      </c>
      <c r="W44" s="76">
        <f t="shared" si="14"/>
        <v>0</v>
      </c>
      <c r="X44" s="76">
        <f t="shared" si="14"/>
        <v>0</v>
      </c>
      <c r="Y44" s="76">
        <f t="shared" si="14"/>
        <v>0</v>
      </c>
      <c r="Z44" s="77">
        <f t="shared" si="11"/>
        <v>1</v>
      </c>
    </row>
    <row r="45" ht="15.75" customHeight="1">
      <c r="A45" s="73" t="str">
        <f>IFERROR(__xludf.DUMMYFUNCTION("""COMPUTED_VALUE"""),"DINHO 167 - MDB")</f>
        <v>DINHO 167 - MDB</v>
      </c>
      <c r="B45" s="4"/>
      <c r="C45" s="74"/>
      <c r="D45" s="4"/>
      <c r="E45" s="4"/>
      <c r="F45" s="4"/>
      <c r="G45" s="4"/>
      <c r="H45" s="4"/>
      <c r="I45" s="4"/>
      <c r="J45" s="4"/>
      <c r="K45" s="4"/>
      <c r="N45" s="55"/>
      <c r="O45" s="75" t="s">
        <v>5</v>
      </c>
      <c r="P45" s="76">
        <f>T25</f>
        <v>0</v>
      </c>
      <c r="Q45" s="76">
        <f t="shared" ref="Q45:Y45" si="15">IF(COUNTIF($T$28:$T$36, IFERROR(LARGE($O$28:$T$36, $P$47-Q38), 0)) &gt; 0, 1, 0)</f>
        <v>0</v>
      </c>
      <c r="R45" s="76">
        <f t="shared" si="15"/>
        <v>0</v>
      </c>
      <c r="S45" s="76">
        <f t="shared" si="15"/>
        <v>0</v>
      </c>
      <c r="T45" s="76">
        <f t="shared" si="15"/>
        <v>0</v>
      </c>
      <c r="U45" s="76">
        <f t="shared" si="15"/>
        <v>0</v>
      </c>
      <c r="V45" s="76">
        <f t="shared" si="15"/>
        <v>0</v>
      </c>
      <c r="W45" s="76">
        <f t="shared" si="15"/>
        <v>0</v>
      </c>
      <c r="X45" s="76">
        <f t="shared" si="15"/>
        <v>0</v>
      </c>
      <c r="Y45" s="76">
        <f t="shared" si="15"/>
        <v>0</v>
      </c>
      <c r="Z45" s="77">
        <f t="shared" si="11"/>
        <v>0</v>
      </c>
    </row>
    <row r="46" ht="15.75" customHeight="1">
      <c r="A46" s="73" t="str">
        <f>IFERROR(__xludf.DUMMYFUNCTION("""COMPUTED_VALUE"""),"TIAGO 167 - UB")</f>
        <v>TIAGO 167 - UB</v>
      </c>
      <c r="B46" s="4"/>
      <c r="C46" s="74"/>
      <c r="D46" s="4"/>
      <c r="E46" s="4"/>
      <c r="F46" s="4"/>
      <c r="G46" s="4"/>
      <c r="H46" s="4"/>
      <c r="I46" s="4"/>
      <c r="J46" s="4"/>
      <c r="K46" s="4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5.75" customHeight="1">
      <c r="A47" s="73" t="str">
        <f>IFERROR(__xludf.DUMMYFUNCTION("""COMPUTED_VALUE"""),"CESINHA 158 - PROGRESSISTAS")</f>
        <v>CESINHA 158 - PROGRESSISTAS</v>
      </c>
      <c r="B47" s="4"/>
      <c r="C47" s="74"/>
      <c r="D47" s="4"/>
      <c r="E47" s="4"/>
      <c r="F47" s="4"/>
      <c r="G47" s="4"/>
      <c r="H47" s="4"/>
      <c r="I47" s="4"/>
      <c r="J47" s="4"/>
      <c r="K47" s="4"/>
      <c r="N47" s="55"/>
      <c r="O47" s="55"/>
      <c r="P47" s="77">
        <f>9 -SUM(P40:P45)</f>
        <v>9</v>
      </c>
      <c r="Q47" s="55"/>
      <c r="R47" s="55"/>
      <c r="S47" s="55"/>
      <c r="T47" s="55"/>
      <c r="U47" s="55"/>
      <c r="V47" s="55"/>
      <c r="W47" s="55"/>
      <c r="X47" s="55"/>
      <c r="Y47" s="55"/>
      <c r="Z47" s="77">
        <f>SUM(Z40:Z45)</f>
        <v>9</v>
      </c>
    </row>
    <row r="48" ht="15.75" customHeight="1">
      <c r="A48" s="73" t="str">
        <f>IFERROR(__xludf.DUMMYFUNCTION("""COMPUTED_VALUE"""),"RAQUEL 148 - PSD")</f>
        <v>RAQUEL 148 - PSD</v>
      </c>
      <c r="B48" s="4"/>
      <c r="C48" s="74"/>
      <c r="D48" s="4"/>
      <c r="E48" s="4"/>
      <c r="F48" s="4"/>
      <c r="G48" s="4"/>
      <c r="H48" s="4"/>
      <c r="I48" s="4"/>
      <c r="J48" s="4"/>
      <c r="K48" s="4"/>
      <c r="N48" s="4"/>
      <c r="O48" s="4"/>
      <c r="P48" s="4"/>
      <c r="Q48" s="4"/>
      <c r="R48" s="4"/>
      <c r="S48" s="31"/>
      <c r="T48" s="4"/>
      <c r="U48" s="4"/>
      <c r="V48" s="4"/>
      <c r="W48" s="4"/>
      <c r="X48" s="4"/>
      <c r="Y48" s="4"/>
      <c r="Z48" s="4"/>
    </row>
    <row r="49" ht="15.75" customHeight="1">
      <c r="A49" s="73" t="str">
        <f>IFERROR(__xludf.DUMMYFUNCTION("""COMPUTED_VALUE"""),"ARILTON 137 - UB")</f>
        <v>ARILTON 137 - UB</v>
      </c>
      <c r="B49" s="4"/>
      <c r="C49" s="7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73" t="str">
        <f>IFERROR(__xludf.DUMMYFUNCTION("""COMPUTED_VALUE"""),"GABRIEL 128 - UB")</f>
        <v>GABRIEL 128 - UB</v>
      </c>
      <c r="B50" s="4"/>
      <c r="C50" s="74"/>
      <c r="D50" s="4"/>
      <c r="E50" s="4"/>
      <c r="F50" s="4"/>
      <c r="G50" s="4"/>
      <c r="H50" s="4"/>
      <c r="I50" s="4"/>
      <c r="J50" s="4"/>
      <c r="K50" s="4"/>
      <c r="L50" s="4"/>
      <c r="M50" s="4"/>
      <c r="N50" s="5" t="s">
        <v>6</v>
      </c>
      <c r="O50" s="6">
        <f>SUM('APURAÇÃO DOS VOTOS'!B8:Y8)</f>
        <v>330</v>
      </c>
      <c r="P50" s="78">
        <v>1.0</v>
      </c>
      <c r="Q50" s="79">
        <f t="shared" ref="Q50:Q90" si="16">LARGE($O$50:$O$90,P50)</f>
        <v>511</v>
      </c>
      <c r="R50" s="79" t="str">
        <f t="shared" ref="R50:R90" si="17">INDEX($N$50:$N$90, MATCH(Q50, $O$50:$O$90, 0))</f>
        <v>FABRICIO</v>
      </c>
      <c r="Z50" s="4"/>
    </row>
    <row r="51" ht="15.75" customHeight="1">
      <c r="A51" s="73" t="str">
        <f>IFERROR(__xludf.DUMMYFUNCTION("""COMPUTED_VALUE"""),"VALDIR 121 - PL")</f>
        <v>VALDIR 121 - PL</v>
      </c>
      <c r="B51" s="4"/>
      <c r="C51" s="74"/>
      <c r="D51" s="4"/>
      <c r="E51" s="4"/>
      <c r="F51" s="4"/>
      <c r="G51" s="4"/>
      <c r="H51" s="4"/>
      <c r="I51" s="4"/>
      <c r="J51" s="4"/>
      <c r="K51" s="4"/>
      <c r="L51" s="4"/>
      <c r="M51" s="4"/>
      <c r="N51" s="7" t="s">
        <v>12</v>
      </c>
      <c r="O51" s="6">
        <f>SUM('APURAÇÃO DOS VOTOS'!B9:Y9)</f>
        <v>174</v>
      </c>
      <c r="P51" s="78">
        <v>2.0</v>
      </c>
      <c r="Q51" s="79">
        <f t="shared" si="16"/>
        <v>366</v>
      </c>
      <c r="R51" s="79" t="str">
        <f t="shared" si="17"/>
        <v>GUI</v>
      </c>
      <c r="Z51" s="4"/>
    </row>
    <row r="52" ht="15.75" customHeight="1">
      <c r="A52" s="73" t="str">
        <f>IFERROR(__xludf.DUMMYFUNCTION("""COMPUTED_VALUE"""),"FRANCIELE 116 - PROGRESSISTAS")</f>
        <v>FRANCIELE 116 - PROGRESSISTAS</v>
      </c>
      <c r="B52" s="4"/>
      <c r="C52" s="74"/>
      <c r="D52" s="4"/>
      <c r="E52" s="4"/>
      <c r="F52" s="4"/>
      <c r="G52" s="4"/>
      <c r="H52" s="4"/>
      <c r="I52" s="4"/>
      <c r="J52" s="4"/>
      <c r="K52" s="4"/>
      <c r="L52" s="4"/>
      <c r="M52" s="4"/>
      <c r="N52" s="5" t="s">
        <v>18</v>
      </c>
      <c r="O52" s="6">
        <f>SUM('APURAÇÃO DOS VOTOS'!B10:Y10)</f>
        <v>246</v>
      </c>
      <c r="P52" s="78">
        <v>3.0</v>
      </c>
      <c r="Q52" s="79">
        <f t="shared" si="16"/>
        <v>330</v>
      </c>
      <c r="R52" s="79" t="str">
        <f t="shared" si="17"/>
        <v>AGUINALDO</v>
      </c>
      <c r="Z52" s="4"/>
    </row>
    <row r="53" ht="15.75" customHeight="1">
      <c r="A53" s="73" t="str">
        <f>IFERROR(__xludf.DUMMYFUNCTION("""COMPUTED_VALUE"""),"ROBINHO 106 - PROGRESSISTAS")</f>
        <v>ROBINHO 106 - PROGRESSISTAS</v>
      </c>
      <c r="B53" s="4"/>
      <c r="C53" s="74"/>
      <c r="D53" s="4"/>
      <c r="E53" s="4"/>
      <c r="F53" s="4"/>
      <c r="G53" s="4"/>
      <c r="H53" s="4"/>
      <c r="I53" s="4"/>
      <c r="J53" s="4"/>
      <c r="K53" s="4"/>
      <c r="L53" s="4"/>
      <c r="M53" s="4"/>
      <c r="N53" s="7" t="s">
        <v>24</v>
      </c>
      <c r="O53" s="6">
        <f>SUM('APURAÇÃO DOS VOTOS'!B11:Y11)</f>
        <v>158</v>
      </c>
      <c r="P53" s="78">
        <v>4.0</v>
      </c>
      <c r="Q53" s="79">
        <f t="shared" si="16"/>
        <v>317</v>
      </c>
      <c r="R53" s="79" t="str">
        <f t="shared" si="17"/>
        <v>BIANCA</v>
      </c>
      <c r="T53" s="80"/>
      <c r="U53" s="80"/>
      <c r="V53" s="80"/>
      <c r="W53" s="80"/>
      <c r="X53" s="81"/>
      <c r="Y53" s="82"/>
      <c r="Z53" s="4"/>
    </row>
    <row r="54" ht="15.75" customHeight="1">
      <c r="A54" s="73" t="str">
        <f>IFERROR(__xludf.DUMMYFUNCTION("""COMPUTED_VALUE"""),"JUNINHO 96 - PSD")</f>
        <v>JUNINHO 96 - PSD</v>
      </c>
      <c r="B54" s="4"/>
      <c r="C54" s="74"/>
      <c r="D54" s="4"/>
      <c r="E54" s="4"/>
      <c r="F54" s="4"/>
      <c r="G54" s="4"/>
      <c r="H54" s="4"/>
      <c r="I54" s="4"/>
      <c r="J54" s="4"/>
      <c r="K54" s="4"/>
      <c r="L54" s="4"/>
      <c r="M54" s="4"/>
      <c r="N54" s="5" t="s">
        <v>29</v>
      </c>
      <c r="O54" s="6">
        <f>SUM('APURAÇÃO DOS VOTOS'!B12:Y12)</f>
        <v>511</v>
      </c>
      <c r="P54" s="78">
        <v>5.0</v>
      </c>
      <c r="Q54" s="79">
        <f t="shared" si="16"/>
        <v>298</v>
      </c>
      <c r="R54" s="79" t="str">
        <f t="shared" si="17"/>
        <v>SERGIO</v>
      </c>
      <c r="T54" s="80"/>
      <c r="U54" s="80"/>
      <c r="V54" s="80"/>
      <c r="W54" s="80"/>
      <c r="X54" s="81"/>
      <c r="Y54" s="82"/>
      <c r="Z54" s="4"/>
    </row>
    <row r="55" ht="15.75" customHeight="1">
      <c r="A55" s="73" t="str">
        <f>IFERROR(__xludf.DUMMYFUNCTION("""COMPUTED_VALUE"""),"JUBA 78 - PL")</f>
        <v>JUBA 78 - PL</v>
      </c>
      <c r="B55" s="4"/>
      <c r="C55" s="74"/>
      <c r="D55" s="4"/>
      <c r="E55" s="4"/>
      <c r="F55" s="4"/>
      <c r="G55" s="4"/>
      <c r="H55" s="4"/>
      <c r="I55" s="4"/>
      <c r="J55" s="4"/>
      <c r="K55" s="4"/>
      <c r="L55" s="4"/>
      <c r="M55" s="4"/>
      <c r="N55" s="7" t="s">
        <v>34</v>
      </c>
      <c r="O55" s="6">
        <f>SUM('APURAÇÃO DOS VOTOS'!B13:Y13)</f>
        <v>116</v>
      </c>
      <c r="P55" s="78">
        <v>6.0</v>
      </c>
      <c r="Q55" s="79">
        <f t="shared" si="16"/>
        <v>285</v>
      </c>
      <c r="R55" s="79" t="str">
        <f t="shared" si="17"/>
        <v>VANESSA</v>
      </c>
      <c r="T55" s="80"/>
      <c r="U55" s="80"/>
      <c r="V55" s="80"/>
      <c r="W55" s="80"/>
      <c r="X55" s="81"/>
      <c r="Y55" s="82"/>
      <c r="Z55" s="4"/>
    </row>
    <row r="56" ht="15.75" customHeight="1">
      <c r="A56" s="73" t="str">
        <f>IFERROR(__xludf.DUMMYFUNCTION("""COMPUTED_VALUE"""),"ZENON 76 - PT")</f>
        <v>ZENON 76 - PT</v>
      </c>
      <c r="B56" s="4"/>
      <c r="C56" s="74"/>
      <c r="D56" s="4"/>
      <c r="E56" s="4"/>
      <c r="F56" s="4"/>
      <c r="G56" s="4"/>
      <c r="H56" s="4"/>
      <c r="I56" s="4"/>
      <c r="J56" s="4"/>
      <c r="K56" s="4"/>
      <c r="L56" s="4"/>
      <c r="M56" s="4"/>
      <c r="N56" s="5" t="s">
        <v>39</v>
      </c>
      <c r="O56" s="6">
        <f>SUM('APURAÇÃO DOS VOTOS'!B14:Y14)</f>
        <v>36</v>
      </c>
      <c r="P56" s="78">
        <v>7.0</v>
      </c>
      <c r="Q56" s="79">
        <f t="shared" si="16"/>
        <v>260</v>
      </c>
      <c r="R56" s="79" t="str">
        <f t="shared" si="17"/>
        <v>ZOINHO</v>
      </c>
      <c r="T56" s="81"/>
      <c r="U56" s="82"/>
      <c r="V56" s="81"/>
      <c r="W56" s="82"/>
      <c r="X56" s="81"/>
      <c r="Y56" s="82"/>
      <c r="Z56" s="4"/>
    </row>
    <row r="57" ht="15.75" customHeight="1">
      <c r="A57" s="73" t="str">
        <f>IFERROR(__xludf.DUMMYFUNCTION("""COMPUTED_VALUE"""),"LUCIANA 74 - PT")</f>
        <v>LUCIANA 74 - PT</v>
      </c>
      <c r="B57" s="4"/>
      <c r="C57" s="74"/>
      <c r="D57" s="4"/>
      <c r="E57" s="4"/>
      <c r="F57" s="4"/>
      <c r="G57" s="4"/>
      <c r="H57" s="4"/>
      <c r="I57" s="4"/>
      <c r="J57" s="4"/>
      <c r="K57" s="4"/>
      <c r="L57" s="4"/>
      <c r="M57" s="4"/>
      <c r="N57" s="7" t="s">
        <v>41</v>
      </c>
      <c r="O57" s="6">
        <f>SUM('APURAÇÃO DOS VOTOS'!B15:Y15)</f>
        <v>106</v>
      </c>
      <c r="P57" s="78">
        <v>8.0</v>
      </c>
      <c r="Q57" s="79">
        <f t="shared" si="16"/>
        <v>246</v>
      </c>
      <c r="R57" s="79" t="str">
        <f t="shared" si="17"/>
        <v>CELINHO</v>
      </c>
      <c r="T57" s="81"/>
      <c r="U57" s="82"/>
      <c r="V57" s="81"/>
      <c r="W57" s="82"/>
      <c r="X57" s="81"/>
      <c r="Y57" s="82"/>
      <c r="Z57" s="4"/>
    </row>
    <row r="58" ht="15.75" customHeight="1">
      <c r="A58" s="73" t="str">
        <f>IFERROR(__xludf.DUMMYFUNCTION("""COMPUTED_VALUE"""),"GUTO 66 - PSD")</f>
        <v>GUTO 66 - PSD</v>
      </c>
      <c r="B58" s="4"/>
      <c r="C58" s="74"/>
      <c r="D58" s="4"/>
      <c r="E58" s="4"/>
      <c r="F58" s="4"/>
      <c r="G58" s="4"/>
      <c r="H58" s="4"/>
      <c r="I58" s="4"/>
      <c r="J58" s="4"/>
      <c r="K58" s="4"/>
      <c r="L58" s="4"/>
      <c r="M58" s="4"/>
      <c r="N58" s="5" t="s">
        <v>43</v>
      </c>
      <c r="O58" s="6">
        <f>SUM('APURAÇÃO DOS VOTOS'!B16:Y16)</f>
        <v>206</v>
      </c>
      <c r="P58" s="78">
        <v>9.0</v>
      </c>
      <c r="Q58" s="79">
        <f t="shared" si="16"/>
        <v>228</v>
      </c>
      <c r="R58" s="79" t="str">
        <f t="shared" si="17"/>
        <v>DEDI</v>
      </c>
      <c r="T58" s="81"/>
      <c r="U58" s="82"/>
      <c r="V58" s="81"/>
      <c r="W58" s="82"/>
      <c r="X58" s="81"/>
      <c r="Y58" s="82"/>
      <c r="Z58" s="4"/>
    </row>
    <row r="59" ht="15.75" customHeight="1">
      <c r="A59" s="73" t="str">
        <f>IFERROR(__xludf.DUMMYFUNCTION("""COMPUTED_VALUE"""),"ALDO 64 - MDB")</f>
        <v>ALDO 64 - MDB</v>
      </c>
      <c r="B59" s="4"/>
      <c r="C59" s="74"/>
      <c r="D59" s="4"/>
      <c r="E59" s="4"/>
      <c r="F59" s="4"/>
      <c r="G59" s="4"/>
      <c r="H59" s="4"/>
      <c r="I59" s="4"/>
      <c r="J59" s="4"/>
      <c r="K59" s="4"/>
      <c r="L59" s="4"/>
      <c r="M59" s="4"/>
      <c r="N59" s="7" t="s">
        <v>45</v>
      </c>
      <c r="O59" s="6">
        <f>SUM('APURAÇÃO DOS VOTOS'!B17:Y17)</f>
        <v>285</v>
      </c>
      <c r="P59" s="78">
        <v>10.0</v>
      </c>
      <c r="Q59" s="79">
        <f t="shared" si="16"/>
        <v>227</v>
      </c>
      <c r="R59" s="79" t="str">
        <f t="shared" si="17"/>
        <v>EVERALDO</v>
      </c>
      <c r="T59" s="81"/>
      <c r="U59" s="82"/>
      <c r="V59" s="81"/>
      <c r="W59" s="82"/>
      <c r="X59" s="81"/>
      <c r="Y59" s="82"/>
      <c r="Z59" s="4"/>
    </row>
    <row r="60" ht="15.75" customHeight="1">
      <c r="A60" s="73" t="str">
        <f>IFERROR(__xludf.DUMMYFUNCTION("""COMPUTED_VALUE"""),"NARA 55 - PSD")</f>
        <v>NARA 55 - PSD</v>
      </c>
      <c r="B60" s="4"/>
      <c r="C60" s="74"/>
      <c r="D60" s="4"/>
      <c r="E60" s="4"/>
      <c r="F60" s="4"/>
      <c r="G60" s="4"/>
      <c r="H60" s="4"/>
      <c r="I60" s="4"/>
      <c r="J60" s="4"/>
      <c r="K60" s="4"/>
      <c r="L60" s="4"/>
      <c r="M60" s="4"/>
      <c r="N60" s="5" t="s">
        <v>7</v>
      </c>
      <c r="O60" s="6">
        <f>SUM('APURAÇÃO DOS VOTOS'!B19:Y19)</f>
        <v>227</v>
      </c>
      <c r="P60" s="78">
        <v>11.0</v>
      </c>
      <c r="Q60" s="79">
        <f t="shared" si="16"/>
        <v>206</v>
      </c>
      <c r="R60" s="79" t="str">
        <f t="shared" si="17"/>
        <v>RUANITO</v>
      </c>
      <c r="T60" s="4"/>
      <c r="U60" s="4"/>
      <c r="V60" s="4"/>
      <c r="W60" s="4"/>
      <c r="X60" s="4"/>
      <c r="Y60" s="4"/>
      <c r="Z60" s="4"/>
    </row>
    <row r="61" ht="15.75" customHeight="1">
      <c r="A61" s="73" t="str">
        <f>IFERROR(__xludf.DUMMYFUNCTION("""COMPUTED_VALUE"""),"TOMAZIA 45 - PSD")</f>
        <v>TOMAZIA 45 - PSD</v>
      </c>
      <c r="B61" s="4"/>
      <c r="C61" s="74"/>
      <c r="D61" s="4"/>
      <c r="E61" s="4"/>
      <c r="F61" s="4"/>
      <c r="G61" s="4"/>
      <c r="H61" s="4"/>
      <c r="I61" s="4"/>
      <c r="J61" s="4"/>
      <c r="K61" s="4"/>
      <c r="L61" s="4"/>
      <c r="M61" s="4"/>
      <c r="N61" s="7" t="s">
        <v>13</v>
      </c>
      <c r="O61" s="6">
        <f>SUM('APURAÇÃO DOS VOTOS'!B20:Y20)</f>
        <v>366</v>
      </c>
      <c r="P61" s="78">
        <v>12.0</v>
      </c>
      <c r="Q61" s="79">
        <f t="shared" si="16"/>
        <v>205</v>
      </c>
      <c r="R61" s="79" t="str">
        <f t="shared" si="17"/>
        <v>PRISCILLA</v>
      </c>
      <c r="T61" s="4"/>
      <c r="U61" s="4"/>
      <c r="V61" s="4"/>
      <c r="W61" s="4"/>
      <c r="X61" s="4"/>
      <c r="Y61" s="4"/>
      <c r="Z61" s="4"/>
    </row>
    <row r="62" ht="15.75" customHeight="1">
      <c r="A62" s="73" t="str">
        <f>IFERROR(__xludf.DUMMYFUNCTION("""COMPUTED_VALUE"""),"NANDO 39 - UB")</f>
        <v>NANDO 39 - UB</v>
      </c>
      <c r="B62" s="4"/>
      <c r="C62" s="74"/>
      <c r="D62" s="4"/>
      <c r="E62" s="4"/>
      <c r="F62" s="4"/>
      <c r="G62" s="4"/>
      <c r="H62" s="4"/>
      <c r="I62" s="4"/>
      <c r="J62" s="4"/>
      <c r="K62" s="4"/>
      <c r="L62" s="4"/>
      <c r="M62" s="4"/>
      <c r="N62" s="5" t="s">
        <v>19</v>
      </c>
      <c r="O62" s="6">
        <f>SUM('APURAÇÃO DOS VOTOS'!B21:Y21)</f>
        <v>66</v>
      </c>
      <c r="P62" s="78">
        <v>13.0</v>
      </c>
      <c r="Q62" s="79">
        <f t="shared" si="16"/>
        <v>192</v>
      </c>
      <c r="R62" s="79" t="str">
        <f t="shared" si="17"/>
        <v>DAURI</v>
      </c>
      <c r="T62" s="4"/>
      <c r="U62" s="4"/>
      <c r="V62" s="4"/>
      <c r="W62" s="4"/>
      <c r="X62" s="4"/>
      <c r="Y62" s="4"/>
      <c r="Z62" s="4"/>
    </row>
    <row r="63" ht="15.75" customHeight="1">
      <c r="A63" s="73" t="str">
        <f>IFERROR(__xludf.DUMMYFUNCTION("""COMPUTED_VALUE"""),"MANECA 38 - PL")</f>
        <v>MANECA 38 - PL</v>
      </c>
      <c r="B63" s="4"/>
      <c r="C63" s="74"/>
      <c r="D63" s="4"/>
      <c r="E63" s="4"/>
      <c r="F63" s="4"/>
      <c r="G63" s="4"/>
      <c r="H63" s="4"/>
      <c r="I63" s="4"/>
      <c r="J63" s="4"/>
      <c r="K63" s="4"/>
      <c r="L63" s="4"/>
      <c r="M63" s="4"/>
      <c r="N63" s="7" t="s">
        <v>25</v>
      </c>
      <c r="O63" s="6">
        <f>SUM('APURAÇÃO DOS VOTOS'!B22:Y22)</f>
        <v>183</v>
      </c>
      <c r="P63" s="78">
        <v>14.0</v>
      </c>
      <c r="Q63" s="79">
        <f t="shared" si="16"/>
        <v>183</v>
      </c>
      <c r="R63" s="79" t="str">
        <f t="shared" si="17"/>
        <v>IVOLI</v>
      </c>
      <c r="T63" s="4"/>
      <c r="U63" s="4"/>
      <c r="V63" s="4"/>
      <c r="W63" s="4"/>
      <c r="X63" s="4"/>
      <c r="Y63" s="4"/>
      <c r="Z63" s="4"/>
    </row>
    <row r="64" ht="15.75" customHeight="1">
      <c r="A64" s="73" t="str">
        <f>IFERROR(__xludf.DUMMYFUNCTION("""COMPUTED_VALUE"""),"KARINA 36 - PROGRESSISTAS")</f>
        <v>KARINA 36 - PROGRESSISTAS</v>
      </c>
      <c r="B64" s="4"/>
      <c r="C64" s="74"/>
      <c r="D64" s="4"/>
      <c r="E64" s="4"/>
      <c r="F64" s="4"/>
      <c r="G64" s="4"/>
      <c r="H64" s="4"/>
      <c r="I64" s="4"/>
      <c r="J64" s="4"/>
      <c r="K64" s="4"/>
      <c r="L64" s="4"/>
      <c r="M64" s="4"/>
      <c r="N64" s="5" t="s">
        <v>30</v>
      </c>
      <c r="O64" s="6">
        <f>SUM('APURAÇÃO DOS VOTOS'!B23:Y23)</f>
        <v>96</v>
      </c>
      <c r="P64" s="78">
        <v>15.0</v>
      </c>
      <c r="Q64" s="79">
        <f t="shared" si="16"/>
        <v>181</v>
      </c>
      <c r="R64" s="79" t="str">
        <f t="shared" si="17"/>
        <v>JANAINA</v>
      </c>
      <c r="T64" s="4"/>
      <c r="U64" s="4"/>
      <c r="V64" s="4"/>
      <c r="W64" s="4"/>
      <c r="X64" s="4"/>
      <c r="Y64" s="4"/>
      <c r="Z64" s="4"/>
    </row>
    <row r="65" ht="15.75" customHeight="1">
      <c r="A65" s="73" t="str">
        <f>IFERROR(__xludf.DUMMYFUNCTION("""COMPUTED_VALUE"""),"RONALDO 31 - PSD")</f>
        <v>RONALDO 31 - PSD</v>
      </c>
      <c r="B65" s="4"/>
      <c r="C65" s="74"/>
      <c r="D65" s="4"/>
      <c r="E65" s="4"/>
      <c r="F65" s="4"/>
      <c r="G65" s="4"/>
      <c r="H65" s="4"/>
      <c r="I65" s="4"/>
      <c r="J65" s="4"/>
      <c r="K65" s="4"/>
      <c r="L65" s="4"/>
      <c r="M65" s="4"/>
      <c r="N65" s="7" t="s">
        <v>35</v>
      </c>
      <c r="O65" s="6">
        <f>SUM('APURAÇÃO DOS VOTOS'!B24:Y24)</f>
        <v>55</v>
      </c>
      <c r="P65" s="78">
        <v>16.0</v>
      </c>
      <c r="Q65" s="79">
        <f t="shared" si="16"/>
        <v>174</v>
      </c>
      <c r="R65" s="79" t="str">
        <f t="shared" si="17"/>
        <v>BRUNO</v>
      </c>
      <c r="T65" s="4"/>
      <c r="U65" s="4"/>
      <c r="V65" s="4"/>
      <c r="W65" s="4"/>
      <c r="X65" s="4"/>
      <c r="Y65" s="4"/>
      <c r="Z65" s="4"/>
    </row>
    <row r="66" ht="15.75" customHeight="1">
      <c r="A66" s="73" t="str">
        <f>IFERROR(__xludf.DUMMYFUNCTION("""COMPUTED_VALUE"""),"LUIZ 20 - PT")</f>
        <v>LUIZ 20 - PT</v>
      </c>
      <c r="B66" s="4"/>
      <c r="C66" s="74"/>
      <c r="D66" s="4"/>
      <c r="E66" s="4"/>
      <c r="F66" s="4"/>
      <c r="G66" s="4"/>
      <c r="H66" s="4"/>
      <c r="I66" s="4"/>
      <c r="J66" s="4"/>
      <c r="K66" s="4"/>
      <c r="L66" s="4"/>
      <c r="M66" s="4"/>
      <c r="N66" s="5" t="s">
        <v>40</v>
      </c>
      <c r="O66" s="6">
        <f>SUM('APURAÇÃO DOS VOTOS'!B25:Y25)</f>
        <v>148</v>
      </c>
      <c r="P66" s="78">
        <v>17.0</v>
      </c>
      <c r="Q66" s="79">
        <f t="shared" si="16"/>
        <v>167</v>
      </c>
      <c r="R66" s="79" t="str">
        <f t="shared" si="17"/>
        <v>DINHO</v>
      </c>
      <c r="T66" s="4"/>
      <c r="U66" s="4"/>
      <c r="V66" s="4"/>
      <c r="W66" s="4"/>
      <c r="X66" s="4"/>
      <c r="Y66" s="4"/>
      <c r="Z66" s="4"/>
    </row>
    <row r="67" ht="15.75" customHeight="1">
      <c r="A67" s="73" t="str">
        <f>IFERROR(__xludf.DUMMYFUNCTION("""COMPUTED_VALUE"""),"VALDEMAR 19 - PL")</f>
        <v>VALDEMAR 19 - PL</v>
      </c>
      <c r="B67" s="4"/>
      <c r="C67" s="74"/>
      <c r="D67" s="4"/>
      <c r="E67" s="4"/>
      <c r="F67" s="4"/>
      <c r="G67" s="4"/>
      <c r="H67" s="4"/>
      <c r="I67" s="4"/>
      <c r="J67" s="4"/>
      <c r="K67" s="4"/>
      <c r="L67" s="4"/>
      <c r="M67" s="4"/>
      <c r="N67" s="7" t="s">
        <v>42</v>
      </c>
      <c r="O67" s="6">
        <f>SUM('APURAÇÃO DOS VOTOS'!B26:Y26)</f>
        <v>31</v>
      </c>
      <c r="P67" s="78">
        <v>18.0</v>
      </c>
      <c r="Q67" s="79">
        <f t="shared" si="16"/>
        <v>167</v>
      </c>
      <c r="R67" s="79" t="str">
        <f t="shared" si="17"/>
        <v>DINHO</v>
      </c>
      <c r="T67" s="4"/>
      <c r="U67" s="4"/>
      <c r="V67" s="4"/>
      <c r="W67" s="4"/>
      <c r="X67" s="4"/>
      <c r="Y67" s="4"/>
      <c r="Z67" s="4"/>
    </row>
    <row r="68" ht="15.75" customHeight="1">
      <c r="A68" s="73" t="str">
        <f>IFERROR(__xludf.DUMMYFUNCTION("""COMPUTED_VALUE"""),"PATRICIA 7 - UB")</f>
        <v>PATRICIA 7 - UB</v>
      </c>
      <c r="B68" s="4"/>
      <c r="C68" s="74"/>
      <c r="D68" s="4"/>
      <c r="E68" s="4"/>
      <c r="F68" s="4"/>
      <c r="G68" s="4"/>
      <c r="H68" s="4"/>
      <c r="I68" s="4"/>
      <c r="J68" s="4"/>
      <c r="K68" s="4"/>
      <c r="L68" s="4"/>
      <c r="M68" s="4"/>
      <c r="N68" s="5" t="s">
        <v>44</v>
      </c>
      <c r="O68" s="6">
        <f>SUM('APURAÇÃO DOS VOTOS'!B27:Y27)</f>
        <v>298</v>
      </c>
      <c r="P68" s="78">
        <v>19.0</v>
      </c>
      <c r="Q68" s="79">
        <f t="shared" si="16"/>
        <v>158</v>
      </c>
      <c r="R68" s="79" t="str">
        <f t="shared" si="17"/>
        <v>CESINHA</v>
      </c>
      <c r="T68" s="4"/>
      <c r="U68" s="4"/>
      <c r="V68" s="4"/>
      <c r="W68" s="4"/>
      <c r="X68" s="4"/>
      <c r="Y68" s="4"/>
      <c r="Z68" s="4"/>
    </row>
    <row r="69" ht="15.75" customHeight="1">
      <c r="A69" s="73" t="str">
        <f>IFERROR(__xludf.DUMMYFUNCTION("""COMPUTED_VALUE"""),"NICE 3 - MDB")</f>
        <v>NICE 3 - MDB</v>
      </c>
      <c r="B69" s="4"/>
      <c r="C69" s="74"/>
      <c r="D69" s="4"/>
      <c r="E69" s="4"/>
      <c r="F69" s="4"/>
      <c r="G69" s="4"/>
      <c r="H69" s="4"/>
      <c r="I69" s="4"/>
      <c r="J69" s="4"/>
      <c r="K69" s="4"/>
      <c r="L69" s="4"/>
      <c r="M69" s="4"/>
      <c r="N69" s="7" t="s">
        <v>46</v>
      </c>
      <c r="O69" s="6">
        <f>SUM('APURAÇÃO DOS VOTOS'!B28:Y28)</f>
        <v>45</v>
      </c>
      <c r="P69" s="78">
        <v>20.0</v>
      </c>
      <c r="Q69" s="79">
        <f t="shared" si="16"/>
        <v>148</v>
      </c>
      <c r="R69" s="79" t="str">
        <f t="shared" si="17"/>
        <v>RAQUEL</v>
      </c>
      <c r="T69" s="4"/>
      <c r="U69" s="4"/>
      <c r="V69" s="4"/>
      <c r="W69" s="4"/>
      <c r="X69" s="4"/>
      <c r="Y69" s="4"/>
      <c r="Z69" s="4"/>
    </row>
    <row r="70" ht="15.75" customHeight="1">
      <c r="A70" s="73" t="str">
        <f>IFERROR(__xludf.DUMMYFUNCTION("""COMPUTED_VALUE"""),"  - MDB")</f>
        <v>  - MDB</v>
      </c>
      <c r="B70" s="4"/>
      <c r="C70" s="74"/>
      <c r="D70" s="4"/>
      <c r="E70" s="4"/>
      <c r="F70" s="4"/>
      <c r="G70" s="4"/>
      <c r="H70" s="4"/>
      <c r="I70" s="4"/>
      <c r="J70" s="4"/>
      <c r="K70" s="4"/>
      <c r="L70" s="4"/>
      <c r="M70" s="4"/>
      <c r="N70" s="5" t="s">
        <v>8</v>
      </c>
      <c r="O70" s="6">
        <f>SUM('APURAÇÃO DOS VOTOS'!B30:Y30)</f>
        <v>64</v>
      </c>
      <c r="P70" s="78">
        <v>21.0</v>
      </c>
      <c r="Q70" s="79">
        <f t="shared" si="16"/>
        <v>137</v>
      </c>
      <c r="R70" s="79" t="str">
        <f t="shared" si="17"/>
        <v>ARILTON</v>
      </c>
      <c r="S70" s="4"/>
      <c r="T70" s="4"/>
      <c r="U70" s="4"/>
      <c r="V70" s="4"/>
      <c r="W70" s="4"/>
      <c r="X70" s="4"/>
      <c r="Y70" s="4"/>
      <c r="Z70" s="4"/>
    </row>
    <row r="71" ht="15.75" customHeight="1">
      <c r="A71" s="73" t="str">
        <f>IFERROR(__xludf.DUMMYFUNCTION("""COMPUTED_VALUE"""),"  - MDB")</f>
        <v>  - MDB</v>
      </c>
      <c r="B71" s="4"/>
      <c r="C71" s="74"/>
      <c r="D71" s="4"/>
      <c r="E71" s="4"/>
      <c r="F71" s="4"/>
      <c r="G71" s="4"/>
      <c r="H71" s="4"/>
      <c r="I71" s="4"/>
      <c r="J71" s="4"/>
      <c r="K71" s="4"/>
      <c r="L71" s="4"/>
      <c r="M71" s="4"/>
      <c r="N71" s="7" t="s">
        <v>14</v>
      </c>
      <c r="O71" s="6">
        <f>SUM('APURAÇÃO DOS VOTOS'!B31:Y31)</f>
        <v>317</v>
      </c>
      <c r="P71" s="78">
        <v>22.0</v>
      </c>
      <c r="Q71" s="79">
        <f t="shared" si="16"/>
        <v>128</v>
      </c>
      <c r="R71" s="79" t="str">
        <f t="shared" si="17"/>
        <v>GABRIEL</v>
      </c>
      <c r="S71" s="4"/>
      <c r="T71" s="4"/>
      <c r="U71" s="4"/>
      <c r="V71" s="4"/>
      <c r="W71" s="4"/>
      <c r="X71" s="4"/>
      <c r="Y71" s="4"/>
      <c r="Z71" s="4"/>
    </row>
    <row r="72" ht="15.75" customHeight="1">
      <c r="A72" s="73" t="str">
        <f>IFERROR(__xludf.DUMMYFUNCTION("""COMPUTED_VALUE"""),"  - MDB")</f>
        <v>  - MDB</v>
      </c>
      <c r="B72" s="4"/>
      <c r="C72" s="74"/>
      <c r="D72" s="4"/>
      <c r="E72" s="4"/>
      <c r="F72" s="4"/>
      <c r="G72" s="4"/>
      <c r="H72" s="4"/>
      <c r="I72" s="4"/>
      <c r="J72" s="4"/>
      <c r="K72" s="4"/>
      <c r="L72" s="4"/>
      <c r="M72" s="4"/>
      <c r="N72" s="5" t="s">
        <v>20</v>
      </c>
      <c r="O72" s="6">
        <f>SUM('APURAÇÃO DOS VOTOS'!B32:Y32)</f>
        <v>228</v>
      </c>
      <c r="P72" s="78">
        <v>23.0</v>
      </c>
      <c r="Q72" s="79">
        <f t="shared" si="16"/>
        <v>121</v>
      </c>
      <c r="R72" s="79" t="str">
        <f t="shared" si="17"/>
        <v>VALDIR</v>
      </c>
      <c r="S72" s="4"/>
      <c r="T72" s="4"/>
      <c r="U72" s="4"/>
      <c r="V72" s="4"/>
      <c r="W72" s="4"/>
      <c r="X72" s="4"/>
      <c r="Y72" s="4"/>
      <c r="Z72" s="4"/>
    </row>
    <row r="73" ht="15.75" customHeight="1">
      <c r="A73" s="73" t="str">
        <f>IFERROR(__xludf.DUMMYFUNCTION("""COMPUTED_VALUE"""),"  - MDB")</f>
        <v>  - MDB</v>
      </c>
      <c r="B73" s="4"/>
      <c r="C73" s="74"/>
      <c r="D73" s="4"/>
      <c r="E73" s="4"/>
      <c r="F73" s="4"/>
      <c r="G73" s="4"/>
      <c r="H73" s="4"/>
      <c r="I73" s="4"/>
      <c r="J73" s="4"/>
      <c r="K73" s="4"/>
      <c r="L73" s="4"/>
      <c r="M73" s="4"/>
      <c r="N73" s="7" t="s">
        <v>26</v>
      </c>
      <c r="O73" s="6">
        <f>SUM('APURAÇÃO DOS VOTOS'!B33:Y33)</f>
        <v>167</v>
      </c>
      <c r="P73" s="78">
        <v>24.0</v>
      </c>
      <c r="Q73" s="79">
        <f t="shared" si="16"/>
        <v>116</v>
      </c>
      <c r="R73" s="79" t="str">
        <f t="shared" si="17"/>
        <v>FRANCIELE</v>
      </c>
      <c r="S73" s="4"/>
      <c r="T73" s="4"/>
      <c r="U73" s="4"/>
      <c r="V73" s="4"/>
      <c r="W73" s="4"/>
      <c r="X73" s="4"/>
      <c r="Y73" s="4"/>
      <c r="Z73" s="4"/>
    </row>
    <row r="74" ht="15.75" customHeight="1">
      <c r="A74" s="73" t="str">
        <f>IFERROR(__xludf.DUMMYFUNCTION("""COMPUTED_VALUE"""),"  - UB")</f>
        <v>  - UB</v>
      </c>
      <c r="B74" s="4"/>
      <c r="C74" s="74"/>
      <c r="D74" s="4"/>
      <c r="E74" s="4"/>
      <c r="F74" s="4"/>
      <c r="G74" s="4"/>
      <c r="H74" s="4"/>
      <c r="I74" s="4"/>
      <c r="J74" s="4"/>
      <c r="K74" s="4"/>
      <c r="L74" s="4"/>
      <c r="M74" s="4"/>
      <c r="N74" s="5" t="s">
        <v>31</v>
      </c>
      <c r="O74" s="6">
        <f>SUM('APURAÇÃO DOS VOTOS'!B34:Y34)</f>
        <v>3</v>
      </c>
      <c r="P74" s="78">
        <v>25.0</v>
      </c>
      <c r="Q74" s="79">
        <f t="shared" si="16"/>
        <v>106</v>
      </c>
      <c r="R74" s="79" t="str">
        <f t="shared" si="17"/>
        <v>ROBINHO</v>
      </c>
      <c r="S74" s="4"/>
      <c r="T74" s="4"/>
      <c r="U74" s="4"/>
      <c r="V74" s="4"/>
      <c r="W74" s="4"/>
      <c r="X74" s="4"/>
      <c r="Y74" s="4"/>
      <c r="Z74" s="4"/>
    </row>
    <row r="75" ht="15.75" customHeight="1">
      <c r="A75" s="73" t="str">
        <f>IFERROR(__xludf.DUMMYFUNCTION("""COMPUTED_VALUE"""),"  - UB")</f>
        <v>  - UB</v>
      </c>
      <c r="B75" s="4"/>
      <c r="C75" s="74"/>
      <c r="D75" s="4"/>
      <c r="E75" s="4"/>
      <c r="F75" s="4"/>
      <c r="G75" s="4"/>
      <c r="H75" s="4"/>
      <c r="I75" s="4"/>
      <c r="J75" s="4"/>
      <c r="K75" s="4"/>
      <c r="L75" s="4"/>
      <c r="M75" s="4"/>
      <c r="N75" s="7" t="s">
        <v>36</v>
      </c>
      <c r="O75" s="6">
        <f>SUM('APURAÇÃO DOS VOTOS'!B35:Y35)</f>
        <v>260</v>
      </c>
      <c r="P75" s="78">
        <v>26.0</v>
      </c>
      <c r="Q75" s="79">
        <f t="shared" si="16"/>
        <v>96</v>
      </c>
      <c r="R75" s="79" t="str">
        <f t="shared" si="17"/>
        <v>JUNINHO</v>
      </c>
      <c r="S75" s="4"/>
      <c r="T75" s="4"/>
      <c r="U75" s="4"/>
      <c r="V75" s="4"/>
      <c r="W75" s="4"/>
      <c r="X75" s="4"/>
      <c r="Y75" s="4"/>
      <c r="Z75" s="4"/>
    </row>
    <row r="76" ht="15.75" customHeight="1">
      <c r="A76" s="73" t="str">
        <f>IFERROR(__xludf.DUMMYFUNCTION("""COMPUTED_VALUE"""),"  - UB")</f>
        <v>  - UB</v>
      </c>
      <c r="B76" s="4"/>
      <c r="C76" s="74"/>
      <c r="D76" s="4"/>
      <c r="E76" s="4"/>
      <c r="F76" s="4"/>
      <c r="G76" s="4"/>
      <c r="H76" s="4"/>
      <c r="I76" s="4"/>
      <c r="J76" s="4"/>
      <c r="K76" s="4"/>
      <c r="L76" s="4"/>
      <c r="M76" s="4"/>
      <c r="N76" s="5" t="s">
        <v>9</v>
      </c>
      <c r="O76" s="6">
        <f>SUM('APURAÇÃO DOS VOTOS'!B37:Y37)</f>
        <v>137</v>
      </c>
      <c r="P76" s="78">
        <v>27.0</v>
      </c>
      <c r="Q76" s="79">
        <f t="shared" si="16"/>
        <v>78</v>
      </c>
      <c r="R76" s="79" t="str">
        <f t="shared" si="17"/>
        <v>JUBA</v>
      </c>
      <c r="S76" s="4"/>
      <c r="T76" s="4"/>
      <c r="U76" s="4"/>
      <c r="V76" s="4"/>
      <c r="W76" s="4"/>
      <c r="X76" s="4"/>
      <c r="Y76" s="4"/>
      <c r="Z76" s="4"/>
    </row>
    <row r="77" ht="15.75" customHeight="1">
      <c r="A77" s="73" t="str">
        <f>IFERROR(__xludf.DUMMYFUNCTION("""COMPUTED_VALUE"""),"  - UB")</f>
        <v>  - UB</v>
      </c>
      <c r="B77" s="4"/>
      <c r="C77" s="74"/>
      <c r="D77" s="4"/>
      <c r="E77" s="4"/>
      <c r="F77" s="4"/>
      <c r="G77" s="4"/>
      <c r="H77" s="4"/>
      <c r="I77" s="4"/>
      <c r="J77" s="4"/>
      <c r="K77" s="4"/>
      <c r="L77" s="4"/>
      <c r="M77" s="4"/>
      <c r="N77" s="7" t="s">
        <v>15</v>
      </c>
      <c r="O77" s="6">
        <f>SUM('APURAÇÃO DOS VOTOS'!B38:Y38)</f>
        <v>128</v>
      </c>
      <c r="P77" s="78">
        <v>28.0</v>
      </c>
      <c r="Q77" s="79">
        <f t="shared" si="16"/>
        <v>76</v>
      </c>
      <c r="R77" s="79" t="str">
        <f t="shared" si="17"/>
        <v>ZENON</v>
      </c>
      <c r="S77" s="4"/>
      <c r="T77" s="4"/>
      <c r="U77" s="4"/>
      <c r="V77" s="4"/>
      <c r="W77" s="4"/>
      <c r="X77" s="4"/>
      <c r="Y77" s="4"/>
      <c r="Z77" s="4"/>
    </row>
    <row r="78" ht="15.75" customHeight="1">
      <c r="A78" s="73" t="str">
        <f>IFERROR(__xludf.DUMMYFUNCTION("""COMPUTED_VALUE"""),"  - PL")</f>
        <v>  - PL</v>
      </c>
      <c r="B78" s="4"/>
      <c r="C78" s="74"/>
      <c r="D78" s="4"/>
      <c r="E78" s="4"/>
      <c r="F78" s="4"/>
      <c r="G78" s="4"/>
      <c r="H78" s="4"/>
      <c r="I78" s="4"/>
      <c r="J78" s="4"/>
      <c r="K78" s="4"/>
      <c r="L78" s="4"/>
      <c r="M78" s="4"/>
      <c r="N78" s="5" t="s">
        <v>21</v>
      </c>
      <c r="O78" s="6">
        <f>SUM('APURAÇÃO DOS VOTOS'!B39:Y39)</f>
        <v>39</v>
      </c>
      <c r="P78" s="78">
        <v>29.0</v>
      </c>
      <c r="Q78" s="79">
        <f t="shared" si="16"/>
        <v>74</v>
      </c>
      <c r="R78" s="79" t="str">
        <f t="shared" si="17"/>
        <v>LUCIANA</v>
      </c>
      <c r="S78" s="4"/>
      <c r="T78" s="4"/>
      <c r="U78" s="4"/>
      <c r="V78" s="4"/>
      <c r="W78" s="4"/>
      <c r="X78" s="4"/>
      <c r="Y78" s="4"/>
      <c r="Z78" s="4"/>
    </row>
    <row r="79" ht="15.75" customHeight="1">
      <c r="A79" s="73" t="str">
        <f>IFERROR(__xludf.DUMMYFUNCTION("""COMPUTED_VALUE"""),"  - PL")</f>
        <v>  - PL</v>
      </c>
      <c r="B79" s="4"/>
      <c r="C79" s="74"/>
      <c r="D79" s="4"/>
      <c r="E79" s="4"/>
      <c r="F79" s="4"/>
      <c r="G79" s="4"/>
      <c r="H79" s="4"/>
      <c r="I79" s="4"/>
      <c r="J79" s="4"/>
      <c r="K79" s="4"/>
      <c r="L79" s="4"/>
      <c r="M79" s="4"/>
      <c r="N79" s="7" t="s">
        <v>27</v>
      </c>
      <c r="O79" s="6">
        <f>SUM('APURAÇÃO DOS VOTOS'!B40:Y40)</f>
        <v>7</v>
      </c>
      <c r="P79" s="78">
        <v>30.0</v>
      </c>
      <c r="Q79" s="79">
        <f t="shared" si="16"/>
        <v>66</v>
      </c>
      <c r="R79" s="79" t="str">
        <f t="shared" si="17"/>
        <v>GUTO</v>
      </c>
      <c r="S79" s="4"/>
      <c r="T79" s="4"/>
      <c r="U79" s="4"/>
      <c r="V79" s="4"/>
      <c r="W79" s="4"/>
      <c r="X79" s="4"/>
      <c r="Y79" s="4"/>
      <c r="Z79" s="4"/>
    </row>
    <row r="80" ht="15.75" customHeight="1">
      <c r="A80" s="73" t="str">
        <f>IFERROR(__xludf.DUMMYFUNCTION("""COMPUTED_VALUE"""),"  - PL")</f>
        <v>  - PL</v>
      </c>
      <c r="B80" s="4"/>
      <c r="C80" s="74"/>
      <c r="D80" s="4"/>
      <c r="E80" s="4"/>
      <c r="F80" s="4"/>
      <c r="G80" s="4"/>
      <c r="H80" s="4"/>
      <c r="I80" s="4"/>
      <c r="J80" s="4"/>
      <c r="K80" s="4"/>
      <c r="L80" s="4"/>
      <c r="M80" s="4"/>
      <c r="N80" s="5" t="s">
        <v>32</v>
      </c>
      <c r="O80" s="6">
        <f>SUM('APURAÇÃO DOS VOTOS'!B41:Y41)</f>
        <v>205</v>
      </c>
      <c r="P80" s="78">
        <v>31.0</v>
      </c>
      <c r="Q80" s="79">
        <f t="shared" si="16"/>
        <v>64</v>
      </c>
      <c r="R80" s="79" t="str">
        <f t="shared" si="17"/>
        <v>ALDO</v>
      </c>
      <c r="S80" s="4"/>
      <c r="T80" s="4"/>
      <c r="U80" s="4"/>
      <c r="V80" s="4"/>
      <c r="W80" s="4"/>
      <c r="X80" s="4"/>
      <c r="Y80" s="4"/>
      <c r="Z80" s="4"/>
    </row>
    <row r="81" ht="15.75" customHeight="1">
      <c r="A81" s="73" t="str">
        <f>IFERROR(__xludf.DUMMYFUNCTION("""COMPUTED_VALUE"""),"  - PL")</f>
        <v>  - PL</v>
      </c>
      <c r="B81" s="4"/>
      <c r="C81" s="74"/>
      <c r="D81" s="4"/>
      <c r="E81" s="4"/>
      <c r="F81" s="4"/>
      <c r="G81" s="4"/>
      <c r="H81" s="4"/>
      <c r="I81" s="4"/>
      <c r="J81" s="4"/>
      <c r="K81" s="4"/>
      <c r="L81" s="4"/>
      <c r="M81" s="4"/>
      <c r="N81" s="7" t="s">
        <v>37</v>
      </c>
      <c r="O81" s="6">
        <f>SUM('APURAÇÃO DOS VOTOS'!B42:Y42)</f>
        <v>167</v>
      </c>
      <c r="P81" s="78">
        <v>32.0</v>
      </c>
      <c r="Q81" s="79">
        <f t="shared" si="16"/>
        <v>55</v>
      </c>
      <c r="R81" s="79" t="str">
        <f t="shared" si="17"/>
        <v>NARA</v>
      </c>
      <c r="S81" s="4"/>
      <c r="T81" s="4"/>
      <c r="U81" s="4"/>
      <c r="V81" s="4"/>
      <c r="W81" s="4"/>
      <c r="X81" s="4"/>
      <c r="Y81" s="4"/>
      <c r="Z81" s="4"/>
    </row>
    <row r="82" ht="15.75" customHeight="1">
      <c r="A82" s="73" t="str">
        <f>IFERROR(__xludf.DUMMYFUNCTION("""COMPUTED_VALUE"""),"  - PT")</f>
        <v>  - PT</v>
      </c>
      <c r="B82" s="4"/>
      <c r="C82" s="74"/>
      <c r="D82" s="4"/>
      <c r="E82" s="4"/>
      <c r="F82" s="4"/>
      <c r="G82" s="4"/>
      <c r="H82" s="4"/>
      <c r="I82" s="4"/>
      <c r="J82" s="4"/>
      <c r="K82" s="4"/>
      <c r="L82" s="4"/>
      <c r="M82" s="4"/>
      <c r="N82" s="5" t="s">
        <v>10</v>
      </c>
      <c r="O82" s="6">
        <f>SUM('APURAÇÃO DOS VOTOS'!B44:Y44)</f>
        <v>192</v>
      </c>
      <c r="P82" s="78">
        <v>33.0</v>
      </c>
      <c r="Q82" s="79">
        <f t="shared" si="16"/>
        <v>45</v>
      </c>
      <c r="R82" s="79" t="str">
        <f t="shared" si="17"/>
        <v>TOMAZIA</v>
      </c>
      <c r="S82" s="4"/>
      <c r="T82" s="4"/>
      <c r="U82" s="4"/>
      <c r="V82" s="4"/>
      <c r="W82" s="4"/>
      <c r="X82" s="4"/>
      <c r="Y82" s="4"/>
      <c r="Z82" s="4"/>
    </row>
    <row r="83" ht="15.75" customHeight="1">
      <c r="A83" s="73" t="str">
        <f>IFERROR(__xludf.DUMMYFUNCTION("""COMPUTED_VALUE"""),"  - PT")</f>
        <v>  - PT</v>
      </c>
      <c r="B83" s="4"/>
      <c r="C83" s="74"/>
      <c r="D83" s="4"/>
      <c r="E83" s="4"/>
      <c r="F83" s="4"/>
      <c r="G83" s="4"/>
      <c r="H83" s="4"/>
      <c r="I83" s="4"/>
      <c r="J83" s="4"/>
      <c r="K83" s="4"/>
      <c r="L83" s="4"/>
      <c r="M83" s="4"/>
      <c r="N83" s="7" t="s">
        <v>16</v>
      </c>
      <c r="O83" s="6">
        <f>SUM('APURAÇÃO DOS VOTOS'!B45:Y45)</f>
        <v>181</v>
      </c>
      <c r="P83" s="78">
        <v>34.0</v>
      </c>
      <c r="Q83" s="79">
        <f t="shared" si="16"/>
        <v>39</v>
      </c>
      <c r="R83" s="79" t="str">
        <f t="shared" si="17"/>
        <v>NANDO</v>
      </c>
      <c r="S83" s="4"/>
      <c r="T83" s="4"/>
      <c r="U83" s="4"/>
      <c r="V83" s="4"/>
      <c r="W83" s="4"/>
      <c r="X83" s="4"/>
      <c r="Y83" s="4"/>
      <c r="Z83" s="4"/>
    </row>
    <row r="84" ht="15.75" customHeight="1">
      <c r="A84" s="73" t="str">
        <f>IFERROR(__xludf.DUMMYFUNCTION("""COMPUTED_VALUE"""),"  - PT")</f>
        <v>  - PT</v>
      </c>
      <c r="B84" s="4"/>
      <c r="C84" s="74"/>
      <c r="D84" s="4"/>
      <c r="E84" s="4"/>
      <c r="F84" s="4"/>
      <c r="G84" s="4"/>
      <c r="H84" s="4"/>
      <c r="I84" s="4"/>
      <c r="J84" s="4"/>
      <c r="K84" s="4"/>
      <c r="L84" s="4"/>
      <c r="M84" s="4"/>
      <c r="N84" s="5" t="s">
        <v>22</v>
      </c>
      <c r="O84" s="6">
        <f>SUM('APURAÇÃO DOS VOTOS'!B46:Y46)</f>
        <v>78</v>
      </c>
      <c r="P84" s="78">
        <v>35.0</v>
      </c>
      <c r="Q84" s="79">
        <f t="shared" si="16"/>
        <v>38</v>
      </c>
      <c r="R84" s="79" t="str">
        <f t="shared" si="17"/>
        <v>MANECA</v>
      </c>
      <c r="S84" s="4"/>
      <c r="T84" s="4"/>
      <c r="U84" s="4"/>
      <c r="V84" s="4"/>
      <c r="W84" s="4"/>
      <c r="X84" s="4"/>
      <c r="Y84" s="4"/>
      <c r="Z84" s="4"/>
    </row>
    <row r="85" ht="15.75" customHeight="1">
      <c r="A85" s="73" t="str">
        <f>IFERROR(__xludf.DUMMYFUNCTION("""COMPUTED_VALUE"""),"  - PT")</f>
        <v>  - PT</v>
      </c>
      <c r="B85" s="4"/>
      <c r="C85" s="74"/>
      <c r="D85" s="4"/>
      <c r="E85" s="4"/>
      <c r="F85" s="4"/>
      <c r="G85" s="4"/>
      <c r="H85" s="4"/>
      <c r="I85" s="4"/>
      <c r="J85" s="4"/>
      <c r="K85" s="4"/>
      <c r="L85" s="4"/>
      <c r="M85" s="4"/>
      <c r="N85" s="7" t="s">
        <v>28</v>
      </c>
      <c r="O85" s="6">
        <f>SUM('APURAÇÃO DOS VOTOS'!B47:Y47)</f>
        <v>38</v>
      </c>
      <c r="P85" s="78">
        <v>36.0</v>
      </c>
      <c r="Q85" s="79">
        <f t="shared" si="16"/>
        <v>36</v>
      </c>
      <c r="R85" s="79" t="str">
        <f t="shared" si="17"/>
        <v>KARINA</v>
      </c>
      <c r="S85" s="4"/>
      <c r="T85" s="4"/>
      <c r="U85" s="4"/>
      <c r="V85" s="4"/>
      <c r="W85" s="4"/>
      <c r="X85" s="4"/>
      <c r="Y85" s="4"/>
      <c r="Z85" s="4"/>
    </row>
    <row r="86" ht="15.75" customHeight="1">
      <c r="A86" s="73" t="str">
        <f>IFERROR(__xludf.DUMMYFUNCTION("""COMPUTED_VALUE"""),"  - PT")</f>
        <v>  - PT</v>
      </c>
      <c r="B86" s="4"/>
      <c r="C86" s="74"/>
      <c r="D86" s="4"/>
      <c r="E86" s="4"/>
      <c r="F86" s="4"/>
      <c r="G86" s="4"/>
      <c r="H86" s="4"/>
      <c r="I86" s="4"/>
      <c r="J86" s="4"/>
      <c r="K86" s="4"/>
      <c r="L86" s="4"/>
      <c r="M86" s="4"/>
      <c r="N86" s="5" t="s">
        <v>33</v>
      </c>
      <c r="O86" s="6">
        <f>SUM('APURAÇÃO DOS VOTOS'!B48:Y48)</f>
        <v>19</v>
      </c>
      <c r="P86" s="78">
        <v>37.0</v>
      </c>
      <c r="Q86" s="79">
        <f t="shared" si="16"/>
        <v>31</v>
      </c>
      <c r="R86" s="79" t="str">
        <f t="shared" si="17"/>
        <v>RONALDO</v>
      </c>
      <c r="S86" s="4"/>
      <c r="T86" s="4"/>
      <c r="U86" s="4"/>
      <c r="V86" s="4"/>
      <c r="W86" s="4"/>
      <c r="X86" s="4"/>
      <c r="Y86" s="4"/>
      <c r="Z86" s="4"/>
    </row>
    <row r="87" ht="15.75" customHeight="1">
      <c r="A87" s="73" t="str">
        <f>IFERROR(__xludf.DUMMYFUNCTION("""COMPUTED_VALUE"""),"  - PT")</f>
        <v>  - PT</v>
      </c>
      <c r="B87" s="4"/>
      <c r="C87" s="74"/>
      <c r="D87" s="4"/>
      <c r="E87" s="4"/>
      <c r="F87" s="4"/>
      <c r="G87" s="4"/>
      <c r="H87" s="4"/>
      <c r="I87" s="4"/>
      <c r="J87" s="4"/>
      <c r="K87" s="4"/>
      <c r="L87" s="4"/>
      <c r="M87" s="4"/>
      <c r="N87" s="7" t="s">
        <v>38</v>
      </c>
      <c r="O87" s="6">
        <f>SUM('APURAÇÃO DOS VOTOS'!B49:Y49)</f>
        <v>121</v>
      </c>
      <c r="P87" s="78">
        <v>38.0</v>
      </c>
      <c r="Q87" s="79">
        <f t="shared" si="16"/>
        <v>20</v>
      </c>
      <c r="R87" s="79" t="str">
        <f t="shared" si="17"/>
        <v>LUIZ</v>
      </c>
      <c r="S87" s="4"/>
      <c r="T87" s="4"/>
      <c r="U87" s="4"/>
      <c r="V87" s="4"/>
      <c r="W87" s="4"/>
      <c r="X87" s="4"/>
      <c r="Y87" s="4"/>
      <c r="Z87" s="4"/>
    </row>
    <row r="88" ht="15.75" customHeight="1">
      <c r="A88" s="73" t="str">
        <f>IFERROR(__xludf.DUMMYFUNCTION("""COMPUTED_VALUE"""),"  - PT")</f>
        <v>  - PT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5" t="s">
        <v>11</v>
      </c>
      <c r="O88" s="6">
        <f>SUM('APURAÇÃO DOS VOTOS'!B51:Y51)</f>
        <v>20</v>
      </c>
      <c r="P88" s="78">
        <v>39.0</v>
      </c>
      <c r="Q88" s="79">
        <f t="shared" si="16"/>
        <v>19</v>
      </c>
      <c r="R88" s="79" t="str">
        <f t="shared" si="17"/>
        <v>VALDEMAR</v>
      </c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7" t="s">
        <v>17</v>
      </c>
      <c r="O89" s="6">
        <f>SUM('APURAÇÃO DOS VOTOS'!B52:Y52)</f>
        <v>74</v>
      </c>
      <c r="P89" s="78">
        <v>40.0</v>
      </c>
      <c r="Q89" s="79">
        <f t="shared" si="16"/>
        <v>7</v>
      </c>
      <c r="R89" s="79" t="str">
        <f t="shared" si="17"/>
        <v>PATRICIA</v>
      </c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5" t="s">
        <v>23</v>
      </c>
      <c r="O90" s="6">
        <f>SUM('APURAÇÃO DOS VOTOS'!B53:Y53)</f>
        <v>76</v>
      </c>
      <c r="P90" s="78">
        <v>41.0</v>
      </c>
      <c r="Q90" s="79">
        <f t="shared" si="16"/>
        <v>3</v>
      </c>
      <c r="R90" s="79" t="str">
        <f t="shared" si="17"/>
        <v>NICE</v>
      </c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mergeCells count="12">
    <mergeCell ref="A16:B16"/>
    <mergeCell ref="A17:B17"/>
    <mergeCell ref="E20:F20"/>
    <mergeCell ref="A28:B28"/>
    <mergeCell ref="D28:I28"/>
    <mergeCell ref="A1:B1"/>
    <mergeCell ref="C1:D1"/>
    <mergeCell ref="E1:F1"/>
    <mergeCell ref="G1:H1"/>
    <mergeCell ref="I1:J1"/>
    <mergeCell ref="K1:L1"/>
    <mergeCell ref="A13:A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4.88"/>
    <col customWidth="1" min="2" max="2" width="8.0"/>
    <col customWidth="1" min="3" max="3" width="10.38"/>
    <col customWidth="1" min="4" max="11" width="8.0"/>
    <col customWidth="1" min="12" max="12" width="9.5"/>
    <col customWidth="1" min="13" max="16" width="8.0"/>
    <col customWidth="1" min="17" max="17" width="9.75"/>
    <col customWidth="1" min="18" max="25" width="8.0"/>
    <col customWidth="1" min="26" max="26" width="12.25"/>
  </cols>
  <sheetData>
    <row r="1">
      <c r="A1" s="83" t="s">
        <v>78</v>
      </c>
      <c r="B1" s="84" t="s">
        <v>79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2"/>
      <c r="Z1" s="85"/>
    </row>
    <row r="2">
      <c r="B2" s="86" t="s">
        <v>80</v>
      </c>
      <c r="C2" s="61"/>
      <c r="D2" s="61"/>
      <c r="E2" s="61"/>
      <c r="F2" s="61"/>
      <c r="G2" s="61"/>
      <c r="H2" s="61"/>
      <c r="I2" s="2"/>
      <c r="J2" s="86" t="s">
        <v>81</v>
      </c>
      <c r="K2" s="2"/>
      <c r="L2" s="86" t="s">
        <v>82</v>
      </c>
      <c r="M2" s="2"/>
      <c r="N2" s="86" t="s">
        <v>83</v>
      </c>
      <c r="O2" s="61"/>
      <c r="P2" s="2"/>
      <c r="Q2" s="87" t="s">
        <v>84</v>
      </c>
      <c r="R2" s="86" t="s">
        <v>85</v>
      </c>
      <c r="S2" s="61"/>
      <c r="T2" s="61"/>
      <c r="U2" s="61"/>
      <c r="V2" s="61"/>
      <c r="W2" s="61"/>
      <c r="X2" s="2"/>
      <c r="Y2" s="87" t="s">
        <v>86</v>
      </c>
      <c r="Z2" s="88"/>
    </row>
    <row r="3">
      <c r="B3" s="89">
        <v>1.0</v>
      </c>
      <c r="C3" s="89">
        <v>2.0</v>
      </c>
      <c r="D3" s="89">
        <v>3.0</v>
      </c>
      <c r="E3" s="89">
        <v>4.0</v>
      </c>
      <c r="F3" s="89">
        <v>5.0</v>
      </c>
      <c r="G3" s="89">
        <v>6.0</v>
      </c>
      <c r="H3" s="89">
        <v>7.0</v>
      </c>
      <c r="I3" s="89">
        <v>218.0</v>
      </c>
      <c r="J3" s="89">
        <v>8.0</v>
      </c>
      <c r="K3" s="89">
        <v>9.0</v>
      </c>
      <c r="L3" s="89">
        <v>10.0</v>
      </c>
      <c r="M3" s="89">
        <v>11.0</v>
      </c>
      <c r="N3" s="89">
        <v>12.0</v>
      </c>
      <c r="O3" s="89">
        <v>13.0</v>
      </c>
      <c r="P3" s="89">
        <v>14.0</v>
      </c>
      <c r="Q3" s="89">
        <v>15.0</v>
      </c>
      <c r="R3" s="89">
        <v>16.0</v>
      </c>
      <c r="S3" s="89">
        <v>17.0</v>
      </c>
      <c r="T3" s="89">
        <v>18.0</v>
      </c>
      <c r="U3" s="89">
        <v>19.0</v>
      </c>
      <c r="V3" s="89">
        <v>20.0</v>
      </c>
      <c r="W3" s="89">
        <v>21.0</v>
      </c>
      <c r="X3" s="89">
        <v>22.0</v>
      </c>
      <c r="Y3" s="89">
        <v>25.0</v>
      </c>
      <c r="Z3" s="90"/>
    </row>
    <row r="4">
      <c r="A4" s="91" t="s">
        <v>57</v>
      </c>
      <c r="B4" s="92">
        <v>157.0</v>
      </c>
      <c r="C4" s="92">
        <v>161.0</v>
      </c>
      <c r="D4" s="92">
        <v>153.0</v>
      </c>
      <c r="E4" s="92">
        <v>139.0</v>
      </c>
      <c r="F4" s="92">
        <v>154.0</v>
      </c>
      <c r="G4" s="92">
        <v>145.0</v>
      </c>
      <c r="H4" s="92">
        <v>142.0</v>
      </c>
      <c r="I4" s="92">
        <v>54.0</v>
      </c>
      <c r="J4" s="92">
        <v>103.0</v>
      </c>
      <c r="K4" s="92">
        <v>69.0</v>
      </c>
      <c r="L4" s="92">
        <v>98.0</v>
      </c>
      <c r="M4" s="92">
        <v>108.0</v>
      </c>
      <c r="N4" s="92">
        <v>141.0</v>
      </c>
      <c r="O4" s="92">
        <v>123.0</v>
      </c>
      <c r="P4" s="92">
        <v>114.0</v>
      </c>
      <c r="Q4" s="92">
        <v>99.0</v>
      </c>
      <c r="R4" s="92">
        <v>129.0</v>
      </c>
      <c r="S4" s="92">
        <v>141.0</v>
      </c>
      <c r="T4" s="92">
        <v>138.0</v>
      </c>
      <c r="U4" s="92">
        <v>120.0</v>
      </c>
      <c r="V4" s="92">
        <v>120.0</v>
      </c>
      <c r="W4" s="92">
        <v>136.0</v>
      </c>
      <c r="X4" s="92">
        <v>151.0</v>
      </c>
      <c r="Y4" s="92">
        <v>105.0</v>
      </c>
      <c r="Z4" s="85"/>
    </row>
    <row r="5">
      <c r="A5" s="93" t="s">
        <v>37</v>
      </c>
      <c r="B5" s="94">
        <v>140.0</v>
      </c>
      <c r="C5" s="94">
        <v>128.0</v>
      </c>
      <c r="D5" s="94">
        <v>124.0</v>
      </c>
      <c r="E5" s="94">
        <v>144.0</v>
      </c>
      <c r="F5" s="94">
        <v>148.0</v>
      </c>
      <c r="G5" s="94">
        <v>135.0</v>
      </c>
      <c r="H5" s="94">
        <v>144.0</v>
      </c>
      <c r="I5" s="94">
        <v>87.0</v>
      </c>
      <c r="J5" s="94">
        <v>116.0</v>
      </c>
      <c r="K5" s="94">
        <v>62.0</v>
      </c>
      <c r="L5" s="94">
        <v>76.0</v>
      </c>
      <c r="M5" s="94">
        <v>66.0</v>
      </c>
      <c r="N5" s="94">
        <v>116.0</v>
      </c>
      <c r="O5" s="94">
        <v>153.0</v>
      </c>
      <c r="P5" s="94">
        <v>141.0</v>
      </c>
      <c r="Q5" s="94">
        <v>128.0</v>
      </c>
      <c r="R5" s="94">
        <v>93.0</v>
      </c>
      <c r="S5" s="94">
        <v>96.0</v>
      </c>
      <c r="T5" s="94">
        <v>94.0</v>
      </c>
      <c r="U5" s="94">
        <v>108.0</v>
      </c>
      <c r="V5" s="94">
        <v>113.0</v>
      </c>
      <c r="W5" s="94">
        <v>94.0</v>
      </c>
      <c r="X5" s="94">
        <v>86.0</v>
      </c>
      <c r="Y5" s="94">
        <v>118.0</v>
      </c>
      <c r="Z5" s="85"/>
    </row>
    <row r="6">
      <c r="A6" s="91" t="s">
        <v>58</v>
      </c>
      <c r="B6" s="92">
        <v>42.0</v>
      </c>
      <c r="C6" s="92">
        <v>32.0</v>
      </c>
      <c r="D6" s="92">
        <v>42.0</v>
      </c>
      <c r="E6" s="92">
        <v>40.0</v>
      </c>
      <c r="F6" s="92">
        <v>33.0</v>
      </c>
      <c r="G6" s="92">
        <v>27.0</v>
      </c>
      <c r="H6" s="92">
        <v>42.0</v>
      </c>
      <c r="I6" s="92">
        <v>7.0</v>
      </c>
      <c r="J6" s="92">
        <v>28.0</v>
      </c>
      <c r="K6" s="92">
        <v>19.0</v>
      </c>
      <c r="L6" s="92">
        <v>20.0</v>
      </c>
      <c r="M6" s="92">
        <v>23.0</v>
      </c>
      <c r="N6" s="92">
        <v>35.0</v>
      </c>
      <c r="O6" s="92">
        <v>29.0</v>
      </c>
      <c r="P6" s="92">
        <v>40.0</v>
      </c>
      <c r="Q6" s="92">
        <v>39.0</v>
      </c>
      <c r="R6" s="92">
        <v>9.0</v>
      </c>
      <c r="S6" s="92">
        <v>4.0</v>
      </c>
      <c r="T6" s="92">
        <v>5.0</v>
      </c>
      <c r="U6" s="92">
        <v>4.0</v>
      </c>
      <c r="V6" s="92">
        <v>7.0</v>
      </c>
      <c r="W6" s="92">
        <v>9.0</v>
      </c>
      <c r="X6" s="92">
        <v>4.0</v>
      </c>
      <c r="Y6" s="92">
        <v>47.0</v>
      </c>
      <c r="Z6" s="85"/>
    </row>
    <row r="7">
      <c r="A7" s="95" t="s">
        <v>56</v>
      </c>
      <c r="B7" s="94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4">
        <v>5.0</v>
      </c>
      <c r="Q7" s="96"/>
      <c r="R7" s="96"/>
      <c r="S7" s="96"/>
      <c r="T7" s="94">
        <v>2.0</v>
      </c>
      <c r="U7" s="96"/>
      <c r="V7" s="96"/>
      <c r="W7" s="96"/>
      <c r="X7" s="96"/>
      <c r="Y7" s="94">
        <v>1.0</v>
      </c>
      <c r="Z7" s="85"/>
    </row>
    <row r="8">
      <c r="A8" s="97" t="s">
        <v>6</v>
      </c>
      <c r="B8" s="98">
        <v>13.0</v>
      </c>
      <c r="C8" s="98">
        <v>14.0</v>
      </c>
      <c r="D8" s="98">
        <v>18.0</v>
      </c>
      <c r="E8" s="98">
        <v>8.0</v>
      </c>
      <c r="F8" s="98">
        <v>13.0</v>
      </c>
      <c r="G8" s="98">
        <v>10.0</v>
      </c>
      <c r="H8" s="98">
        <v>9.0</v>
      </c>
      <c r="I8" s="98">
        <v>1.0</v>
      </c>
      <c r="J8" s="98">
        <v>6.0</v>
      </c>
      <c r="K8" s="98">
        <v>2.0</v>
      </c>
      <c r="L8" s="98">
        <v>17.0</v>
      </c>
      <c r="M8" s="98">
        <v>31.0</v>
      </c>
      <c r="N8" s="98">
        <v>62.0</v>
      </c>
      <c r="O8" s="98">
        <v>48.0</v>
      </c>
      <c r="P8" s="98">
        <v>33.0</v>
      </c>
      <c r="Q8" s="98">
        <v>14.0</v>
      </c>
      <c r="R8" s="98">
        <v>2.0</v>
      </c>
      <c r="S8" s="98">
        <v>7.0</v>
      </c>
      <c r="T8" s="98">
        <v>6.0</v>
      </c>
      <c r="U8" s="98">
        <v>4.0</v>
      </c>
      <c r="V8" s="98">
        <v>4.0</v>
      </c>
      <c r="W8" s="98">
        <v>2.0</v>
      </c>
      <c r="X8" s="98">
        <v>2.0</v>
      </c>
      <c r="Y8" s="98">
        <v>4.0</v>
      </c>
      <c r="Z8" s="85"/>
    </row>
    <row r="9">
      <c r="A9" s="99" t="s">
        <v>12</v>
      </c>
      <c r="B9" s="100">
        <v>14.0</v>
      </c>
      <c r="C9" s="100">
        <v>12.0</v>
      </c>
      <c r="D9" s="100">
        <v>10.0</v>
      </c>
      <c r="E9" s="100">
        <v>16.0</v>
      </c>
      <c r="F9" s="100">
        <v>24.0</v>
      </c>
      <c r="G9" s="100">
        <v>19.0</v>
      </c>
      <c r="H9" s="100">
        <v>22.0</v>
      </c>
      <c r="I9" s="100">
        <v>23.0</v>
      </c>
      <c r="J9" s="100">
        <v>8.0</v>
      </c>
      <c r="K9" s="100">
        <v>3.0</v>
      </c>
      <c r="L9" s="94"/>
      <c r="M9" s="100">
        <v>1.0</v>
      </c>
      <c r="N9" s="100">
        <v>4.0</v>
      </c>
      <c r="O9" s="100">
        <v>2.0</v>
      </c>
      <c r="P9" s="100">
        <v>6.0</v>
      </c>
      <c r="Q9" s="100">
        <v>3.0</v>
      </c>
      <c r="R9" s="100"/>
      <c r="S9" s="100">
        <v>3.0</v>
      </c>
      <c r="T9" s="100"/>
      <c r="U9" s="100">
        <v>2.0</v>
      </c>
      <c r="V9" s="100">
        <v>1.0</v>
      </c>
      <c r="W9" s="100"/>
      <c r="X9" s="100"/>
      <c r="Y9" s="100">
        <v>1.0</v>
      </c>
      <c r="Z9" s="85"/>
    </row>
    <row r="10">
      <c r="A10" s="97" t="s">
        <v>18</v>
      </c>
      <c r="B10" s="98">
        <v>4.0</v>
      </c>
      <c r="C10" s="98">
        <v>3.0</v>
      </c>
      <c r="D10" s="98">
        <v>4.0</v>
      </c>
      <c r="E10" s="98">
        <v>10.0</v>
      </c>
      <c r="F10" s="98">
        <v>4.0</v>
      </c>
      <c r="G10" s="98">
        <v>2.0</v>
      </c>
      <c r="H10" s="98">
        <v>1.0</v>
      </c>
      <c r="I10" s="98">
        <v>3.0</v>
      </c>
      <c r="J10" s="98">
        <v>3.0</v>
      </c>
      <c r="K10" s="98">
        <v>2.0</v>
      </c>
      <c r="L10" s="98"/>
      <c r="M10" s="98">
        <v>1.0</v>
      </c>
      <c r="N10" s="98">
        <v>4.0</v>
      </c>
      <c r="O10" s="98">
        <v>3.0</v>
      </c>
      <c r="P10" s="98">
        <v>4.0</v>
      </c>
      <c r="Q10" s="98"/>
      <c r="R10" s="98">
        <v>26.0</v>
      </c>
      <c r="S10" s="98">
        <v>29.0</v>
      </c>
      <c r="T10" s="98">
        <v>29.0</v>
      </c>
      <c r="U10" s="98">
        <v>23.0</v>
      </c>
      <c r="V10" s="98">
        <v>31.0</v>
      </c>
      <c r="W10" s="98">
        <v>25.0</v>
      </c>
      <c r="X10" s="98">
        <v>31.0</v>
      </c>
      <c r="Y10" s="98">
        <v>4.0</v>
      </c>
      <c r="Z10" s="85"/>
    </row>
    <row r="11">
      <c r="A11" s="99" t="s">
        <v>24</v>
      </c>
      <c r="B11" s="100">
        <v>6.0</v>
      </c>
      <c r="C11" s="100">
        <v>6.0</v>
      </c>
      <c r="D11" s="100">
        <v>7.0</v>
      </c>
      <c r="E11" s="100">
        <v>6.0</v>
      </c>
      <c r="F11" s="100">
        <v>5.0</v>
      </c>
      <c r="G11" s="100">
        <v>9.0</v>
      </c>
      <c r="H11" s="100">
        <v>5.0</v>
      </c>
      <c r="I11" s="100">
        <v>4.0</v>
      </c>
      <c r="J11" s="100">
        <v>1.0</v>
      </c>
      <c r="K11" s="100"/>
      <c r="L11" s="100"/>
      <c r="M11" s="100">
        <v>2.0</v>
      </c>
      <c r="N11" s="100"/>
      <c r="O11" s="100">
        <v>4.0</v>
      </c>
      <c r="P11" s="100">
        <v>3.0</v>
      </c>
      <c r="Q11" s="100">
        <v>4.0</v>
      </c>
      <c r="R11" s="100">
        <v>10.0</v>
      </c>
      <c r="S11" s="100">
        <v>15.0</v>
      </c>
      <c r="T11" s="100"/>
      <c r="U11" s="100">
        <v>14.0</v>
      </c>
      <c r="V11" s="100">
        <v>39.0</v>
      </c>
      <c r="W11" s="100">
        <v>11.0</v>
      </c>
      <c r="X11" s="100">
        <v>7.0</v>
      </c>
      <c r="Y11" s="100"/>
      <c r="Z11" s="85"/>
    </row>
    <row r="12">
      <c r="A12" s="97" t="s">
        <v>29</v>
      </c>
      <c r="B12" s="98">
        <f>22+62</f>
        <v>84</v>
      </c>
      <c r="C12" s="98">
        <v>25.0</v>
      </c>
      <c r="D12" s="98">
        <v>21.0</v>
      </c>
      <c r="E12" s="98">
        <v>23.0</v>
      </c>
      <c r="F12" s="98">
        <v>24.0</v>
      </c>
      <c r="G12" s="98">
        <v>20.0</v>
      </c>
      <c r="H12" s="98">
        <v>32.0</v>
      </c>
      <c r="I12" s="98">
        <v>6.0</v>
      </c>
      <c r="J12" s="98">
        <v>22.0</v>
      </c>
      <c r="K12" s="98">
        <v>7.0</v>
      </c>
      <c r="L12" s="98">
        <v>6.0</v>
      </c>
      <c r="M12" s="98">
        <v>7.0</v>
      </c>
      <c r="N12" s="98">
        <v>6.0</v>
      </c>
      <c r="O12" s="98">
        <v>9.0</v>
      </c>
      <c r="P12" s="98">
        <v>17.0</v>
      </c>
      <c r="Q12" s="98">
        <v>7.0</v>
      </c>
      <c r="R12" s="98">
        <v>16.0</v>
      </c>
      <c r="S12" s="98">
        <v>29.0</v>
      </c>
      <c r="T12" s="98">
        <v>29.0</v>
      </c>
      <c r="U12" s="98">
        <v>31.0</v>
      </c>
      <c r="V12" s="98">
        <v>15.0</v>
      </c>
      <c r="W12" s="98">
        <v>21.0</v>
      </c>
      <c r="X12" s="98">
        <v>30.0</v>
      </c>
      <c r="Y12" s="98">
        <v>24.0</v>
      </c>
      <c r="Z12" s="85"/>
    </row>
    <row r="13">
      <c r="A13" s="99" t="s">
        <v>34</v>
      </c>
      <c r="B13" s="100">
        <v>2.0</v>
      </c>
      <c r="C13" s="100">
        <v>3.0</v>
      </c>
      <c r="D13" s="100">
        <v>1.0</v>
      </c>
      <c r="E13" s="100">
        <v>2.0</v>
      </c>
      <c r="F13" s="100">
        <v>4.0</v>
      </c>
      <c r="G13" s="100">
        <v>1.0</v>
      </c>
      <c r="H13" s="100">
        <v>1.0</v>
      </c>
      <c r="I13" s="100">
        <v>2.0</v>
      </c>
      <c r="J13" s="100">
        <v>1.0</v>
      </c>
      <c r="K13" s="100"/>
      <c r="L13" s="100">
        <v>3.0</v>
      </c>
      <c r="M13" s="100">
        <v>1.0</v>
      </c>
      <c r="N13" s="100">
        <v>1.0</v>
      </c>
      <c r="O13" s="100">
        <v>8.0</v>
      </c>
      <c r="P13" s="100">
        <v>4.0</v>
      </c>
      <c r="Q13" s="100">
        <v>5.0</v>
      </c>
      <c r="R13" s="100">
        <v>17.0</v>
      </c>
      <c r="S13" s="100">
        <v>11.0</v>
      </c>
      <c r="T13" s="100">
        <v>13.0</v>
      </c>
      <c r="U13" s="100">
        <v>12.0</v>
      </c>
      <c r="V13" s="100">
        <v>3.0</v>
      </c>
      <c r="W13" s="100">
        <v>11.0</v>
      </c>
      <c r="X13" s="100">
        <v>10.0</v>
      </c>
      <c r="Y13" s="100"/>
      <c r="Z13" s="85"/>
    </row>
    <row r="14">
      <c r="A14" s="97" t="s">
        <v>39</v>
      </c>
      <c r="B14" s="98">
        <v>1.0</v>
      </c>
      <c r="C14" s="98"/>
      <c r="D14" s="98"/>
      <c r="E14" s="98"/>
      <c r="F14" s="98">
        <v>1.0</v>
      </c>
      <c r="G14" s="98">
        <v>1.0</v>
      </c>
      <c r="H14" s="98">
        <v>1.0</v>
      </c>
      <c r="I14" s="98"/>
      <c r="J14" s="98">
        <v>1.0</v>
      </c>
      <c r="K14" s="98"/>
      <c r="L14" s="98">
        <v>13.0</v>
      </c>
      <c r="M14" s="98">
        <v>11.0</v>
      </c>
      <c r="N14" s="98">
        <v>2.0</v>
      </c>
      <c r="O14" s="98"/>
      <c r="P14" s="98">
        <v>2.0</v>
      </c>
      <c r="Q14" s="98">
        <v>1.0</v>
      </c>
      <c r="R14" s="98"/>
      <c r="S14" s="98"/>
      <c r="T14" s="98"/>
      <c r="U14" s="98"/>
      <c r="V14" s="98"/>
      <c r="W14" s="98">
        <v>1.0</v>
      </c>
      <c r="X14" s="98"/>
      <c r="Y14" s="98">
        <v>1.0</v>
      </c>
      <c r="Z14" s="85"/>
    </row>
    <row r="15">
      <c r="A15" s="99" t="s">
        <v>41</v>
      </c>
      <c r="B15" s="100">
        <v>3.0</v>
      </c>
      <c r="C15" s="100">
        <v>7.0</v>
      </c>
      <c r="D15" s="100">
        <v>6.0</v>
      </c>
      <c r="E15" s="100">
        <v>5.0</v>
      </c>
      <c r="F15" s="100">
        <v>6.0</v>
      </c>
      <c r="G15" s="100">
        <v>1.0</v>
      </c>
      <c r="H15" s="100">
        <v>7.0</v>
      </c>
      <c r="I15" s="100">
        <v>5.0</v>
      </c>
      <c r="J15" s="100">
        <v>3.0</v>
      </c>
      <c r="K15" s="100">
        <v>2.0</v>
      </c>
      <c r="L15" s="100">
        <v>8.0</v>
      </c>
      <c r="M15" s="100">
        <v>6.0</v>
      </c>
      <c r="N15" s="100">
        <v>2.0</v>
      </c>
      <c r="O15" s="100">
        <v>3.0</v>
      </c>
      <c r="P15" s="100"/>
      <c r="Q15" s="100">
        <v>1.0</v>
      </c>
      <c r="R15" s="100">
        <v>8.0</v>
      </c>
      <c r="S15" s="100">
        <v>3.0</v>
      </c>
      <c r="T15" s="100">
        <v>6.0</v>
      </c>
      <c r="U15" s="100">
        <v>5.0</v>
      </c>
      <c r="V15" s="100">
        <v>5.0</v>
      </c>
      <c r="W15" s="100">
        <v>6.0</v>
      </c>
      <c r="X15" s="100">
        <v>7.0</v>
      </c>
      <c r="Y15" s="100">
        <v>1.0</v>
      </c>
      <c r="Z15" s="85"/>
    </row>
    <row r="16">
      <c r="A16" s="97" t="s">
        <v>43</v>
      </c>
      <c r="B16" s="98">
        <v>19.0</v>
      </c>
      <c r="C16" s="98">
        <v>18.0</v>
      </c>
      <c r="D16" s="98">
        <v>9.0</v>
      </c>
      <c r="E16" s="98">
        <v>7.0</v>
      </c>
      <c r="F16" s="98">
        <v>12.0</v>
      </c>
      <c r="G16" s="98">
        <v>28.0</v>
      </c>
      <c r="H16" s="98">
        <v>18.0</v>
      </c>
      <c r="I16" s="98"/>
      <c r="J16" s="98">
        <v>3.0</v>
      </c>
      <c r="K16" s="98">
        <v>3.0</v>
      </c>
      <c r="L16" s="98">
        <v>7.0</v>
      </c>
      <c r="M16" s="98">
        <v>4.0</v>
      </c>
      <c r="N16" s="98">
        <v>7.0</v>
      </c>
      <c r="O16" s="98">
        <v>3.0</v>
      </c>
      <c r="P16" s="98">
        <v>5.0</v>
      </c>
      <c r="Q16" s="98">
        <v>5.0</v>
      </c>
      <c r="R16" s="98">
        <v>9.0</v>
      </c>
      <c r="S16" s="98">
        <v>3.0</v>
      </c>
      <c r="T16" s="98">
        <v>6.0</v>
      </c>
      <c r="U16" s="98">
        <v>5.0</v>
      </c>
      <c r="V16" s="98">
        <v>6.0</v>
      </c>
      <c r="W16" s="98">
        <v>7.0</v>
      </c>
      <c r="X16" s="98">
        <v>6.0</v>
      </c>
      <c r="Y16" s="98">
        <v>16.0</v>
      </c>
      <c r="Z16" s="85"/>
    </row>
    <row r="17">
      <c r="A17" s="99" t="s">
        <v>45</v>
      </c>
      <c r="B17" s="100">
        <v>21.0</v>
      </c>
      <c r="C17" s="100">
        <v>17.0</v>
      </c>
      <c r="D17" s="100">
        <v>14.0</v>
      </c>
      <c r="E17" s="100">
        <v>20.0</v>
      </c>
      <c r="F17" s="100">
        <v>23.0</v>
      </c>
      <c r="G17" s="100">
        <v>12.0</v>
      </c>
      <c r="H17" s="100">
        <v>21.0</v>
      </c>
      <c r="I17" s="100">
        <v>3.0</v>
      </c>
      <c r="J17" s="100">
        <v>3.0</v>
      </c>
      <c r="K17" s="100">
        <v>1.0</v>
      </c>
      <c r="L17" s="100">
        <v>14.0</v>
      </c>
      <c r="M17" s="100">
        <v>14.0</v>
      </c>
      <c r="N17" s="100">
        <v>16.0</v>
      </c>
      <c r="O17" s="100">
        <v>27.0</v>
      </c>
      <c r="P17" s="100">
        <v>18.0</v>
      </c>
      <c r="Q17" s="100">
        <v>5.0</v>
      </c>
      <c r="R17" s="100">
        <v>7.0</v>
      </c>
      <c r="S17" s="100">
        <v>5.0</v>
      </c>
      <c r="T17" s="100">
        <v>7.0</v>
      </c>
      <c r="U17" s="100">
        <v>5.0</v>
      </c>
      <c r="V17" s="100">
        <v>8.0</v>
      </c>
      <c r="W17" s="100">
        <v>3.0</v>
      </c>
      <c r="X17" s="100">
        <v>9.0</v>
      </c>
      <c r="Y17" s="100">
        <v>12.0</v>
      </c>
      <c r="Z17" s="85"/>
    </row>
    <row r="18">
      <c r="A18" s="101" t="s">
        <v>1</v>
      </c>
      <c r="B18" s="90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5"/>
    </row>
    <row r="19">
      <c r="A19" s="97" t="s">
        <v>7</v>
      </c>
      <c r="B19" s="98">
        <v>3.0</v>
      </c>
      <c r="C19" s="98">
        <v>4.0</v>
      </c>
      <c r="D19" s="98">
        <v>6.0</v>
      </c>
      <c r="E19" s="98">
        <v>6.0</v>
      </c>
      <c r="F19" s="98">
        <v>8.0</v>
      </c>
      <c r="G19" s="98">
        <v>3.0</v>
      </c>
      <c r="H19" s="98">
        <v>5.0</v>
      </c>
      <c r="I19" s="98"/>
      <c r="J19" s="98">
        <v>4.0</v>
      </c>
      <c r="K19" s="98">
        <v>2.0</v>
      </c>
      <c r="L19" s="98">
        <v>4.0</v>
      </c>
      <c r="M19" s="98">
        <v>5.0</v>
      </c>
      <c r="N19" s="98">
        <v>4.0</v>
      </c>
      <c r="O19" s="98">
        <v>8.0</v>
      </c>
      <c r="P19" s="98">
        <v>3.0</v>
      </c>
      <c r="Q19" s="98">
        <v>17.0</v>
      </c>
      <c r="R19" s="98">
        <v>18.0</v>
      </c>
      <c r="S19" s="98">
        <v>18.0</v>
      </c>
      <c r="T19" s="98">
        <v>21.0</v>
      </c>
      <c r="U19" s="98">
        <v>16.0</v>
      </c>
      <c r="V19" s="98">
        <v>19.0</v>
      </c>
      <c r="W19" s="98">
        <v>23.0</v>
      </c>
      <c r="X19" s="98">
        <v>27.0</v>
      </c>
      <c r="Y19" s="98">
        <v>3.0</v>
      </c>
      <c r="Z19" s="85"/>
    </row>
    <row r="20">
      <c r="A20" s="99" t="s">
        <v>13</v>
      </c>
      <c r="B20" s="100">
        <f>24+16</f>
        <v>40</v>
      </c>
      <c r="C20" s="100">
        <v>41.0</v>
      </c>
      <c r="D20" s="100">
        <v>31.0</v>
      </c>
      <c r="E20" s="100">
        <v>23.0</v>
      </c>
      <c r="F20" s="100">
        <v>19.0</v>
      </c>
      <c r="G20" s="100">
        <v>20.0</v>
      </c>
      <c r="H20" s="100">
        <v>30.0</v>
      </c>
      <c r="I20" s="100">
        <v>2.0</v>
      </c>
      <c r="J20" s="100">
        <v>21.0</v>
      </c>
      <c r="K20" s="100">
        <v>17.0</v>
      </c>
      <c r="L20" s="100">
        <v>2.0</v>
      </c>
      <c r="M20" s="100">
        <v>1.0</v>
      </c>
      <c r="N20" s="100">
        <v>14.0</v>
      </c>
      <c r="O20" s="100">
        <v>23.0</v>
      </c>
      <c r="P20" s="100">
        <v>19.0</v>
      </c>
      <c r="Q20" s="100">
        <v>10.0</v>
      </c>
      <c r="R20" s="100">
        <v>5.0</v>
      </c>
      <c r="S20" s="100">
        <v>11.0</v>
      </c>
      <c r="T20" s="100">
        <v>6.0</v>
      </c>
      <c r="U20" s="100">
        <v>3.0</v>
      </c>
      <c r="V20" s="100">
        <v>4.0</v>
      </c>
      <c r="W20" s="100">
        <v>5.0</v>
      </c>
      <c r="X20" s="100">
        <v>5.0</v>
      </c>
      <c r="Y20" s="100">
        <v>14.0</v>
      </c>
      <c r="Z20" s="85"/>
    </row>
    <row r="21">
      <c r="A21" s="97" t="s">
        <v>19</v>
      </c>
      <c r="B21" s="98">
        <v>4.0</v>
      </c>
      <c r="C21" s="98">
        <v>6.0</v>
      </c>
      <c r="D21" s="98">
        <v>7.0</v>
      </c>
      <c r="E21" s="98">
        <v>2.0</v>
      </c>
      <c r="F21" s="98">
        <v>1.0</v>
      </c>
      <c r="G21" s="98">
        <v>1.0</v>
      </c>
      <c r="H21" s="98">
        <v>6.0</v>
      </c>
      <c r="I21" s="98">
        <v>1.0</v>
      </c>
      <c r="J21" s="98">
        <v>2.0</v>
      </c>
      <c r="K21" s="98">
        <v>2.0</v>
      </c>
      <c r="L21" s="98">
        <v>3.0</v>
      </c>
      <c r="M21" s="98">
        <v>5.0</v>
      </c>
      <c r="N21" s="98">
        <v>2.0</v>
      </c>
      <c r="O21" s="98">
        <v>3.0</v>
      </c>
      <c r="P21" s="98">
        <v>5.0</v>
      </c>
      <c r="Q21" s="98">
        <v>1.0</v>
      </c>
      <c r="R21" s="98">
        <v>2.0</v>
      </c>
      <c r="S21" s="98">
        <v>2.0</v>
      </c>
      <c r="T21" s="98"/>
      <c r="U21" s="98">
        <v>1.0</v>
      </c>
      <c r="V21" s="98">
        <v>1.0</v>
      </c>
      <c r="W21" s="98">
        <v>3.0</v>
      </c>
      <c r="X21" s="98">
        <v>1.0</v>
      </c>
      <c r="Y21" s="98">
        <v>5.0</v>
      </c>
      <c r="Z21" s="85"/>
    </row>
    <row r="22">
      <c r="A22" s="99" t="s">
        <v>25</v>
      </c>
      <c r="B22" s="100">
        <v>10.0</v>
      </c>
      <c r="C22" s="100">
        <v>13.0</v>
      </c>
      <c r="D22" s="100">
        <v>12.0</v>
      </c>
      <c r="E22" s="100">
        <v>15.0</v>
      </c>
      <c r="F22" s="100">
        <v>16.0</v>
      </c>
      <c r="G22" s="100">
        <v>8.0</v>
      </c>
      <c r="H22" s="100">
        <v>10.0</v>
      </c>
      <c r="I22" s="100">
        <v>4.0</v>
      </c>
      <c r="J22" s="100">
        <v>4.0</v>
      </c>
      <c r="K22" s="100">
        <v>1.0</v>
      </c>
      <c r="L22" s="100">
        <v>5.0</v>
      </c>
      <c r="M22" s="100">
        <v>2.0</v>
      </c>
      <c r="N22" s="100">
        <v>7.0</v>
      </c>
      <c r="O22" s="100">
        <v>9.0</v>
      </c>
      <c r="P22" s="100">
        <v>9.0</v>
      </c>
      <c r="Q22" s="100">
        <v>31.0</v>
      </c>
      <c r="R22" s="100">
        <v>2.0</v>
      </c>
      <c r="S22" s="100">
        <v>1.0</v>
      </c>
      <c r="T22" s="100">
        <v>1.0</v>
      </c>
      <c r="U22" s="100">
        <v>1.0</v>
      </c>
      <c r="V22" s="100">
        <v>3.0</v>
      </c>
      <c r="W22" s="100">
        <v>2.0</v>
      </c>
      <c r="X22" s="100">
        <v>1.0</v>
      </c>
      <c r="Y22" s="100">
        <v>16.0</v>
      </c>
      <c r="Z22" s="85"/>
    </row>
    <row r="23">
      <c r="A23" s="97" t="s">
        <v>30</v>
      </c>
      <c r="B23" s="98">
        <v>2.0</v>
      </c>
      <c r="C23" s="98">
        <v>2.0</v>
      </c>
      <c r="D23" s="98">
        <v>5.0</v>
      </c>
      <c r="E23" s="98"/>
      <c r="F23" s="98">
        <v>3.0</v>
      </c>
      <c r="G23" s="98">
        <v>2.0</v>
      </c>
      <c r="H23" s="98"/>
      <c r="I23" s="98">
        <v>2.0</v>
      </c>
      <c r="J23" s="98">
        <v>1.0</v>
      </c>
      <c r="K23" s="98">
        <v>3.0</v>
      </c>
      <c r="L23" s="98">
        <v>13.0</v>
      </c>
      <c r="M23" s="98">
        <v>18.0</v>
      </c>
      <c r="N23" s="98">
        <v>1.0</v>
      </c>
      <c r="O23" s="98">
        <v>3.0</v>
      </c>
      <c r="P23" s="98">
        <v>3.0</v>
      </c>
      <c r="Q23" s="98">
        <v>1.0</v>
      </c>
      <c r="R23" s="98">
        <v>7.0</v>
      </c>
      <c r="S23" s="98">
        <v>1.0</v>
      </c>
      <c r="T23" s="98"/>
      <c r="U23" s="98">
        <v>4.0</v>
      </c>
      <c r="V23" s="98">
        <v>3.0</v>
      </c>
      <c r="W23" s="98">
        <v>7.0</v>
      </c>
      <c r="X23" s="98">
        <v>5.0</v>
      </c>
      <c r="Y23" s="98">
        <v>10.0</v>
      </c>
      <c r="Z23" s="85"/>
    </row>
    <row r="24">
      <c r="A24" s="99" t="s">
        <v>35</v>
      </c>
      <c r="B24" s="100">
        <v>4.0</v>
      </c>
      <c r="C24" s="100">
        <v>5.0</v>
      </c>
      <c r="D24" s="100">
        <v>1.0</v>
      </c>
      <c r="E24" s="100">
        <v>6.0</v>
      </c>
      <c r="F24" s="100"/>
      <c r="G24" s="100">
        <v>7.0</v>
      </c>
      <c r="H24" s="100">
        <v>3.0</v>
      </c>
      <c r="I24" s="100">
        <v>1.0</v>
      </c>
      <c r="J24" s="100">
        <v>4.0</v>
      </c>
      <c r="K24" s="100"/>
      <c r="L24" s="100"/>
      <c r="M24" s="100">
        <v>1.0</v>
      </c>
      <c r="N24" s="100">
        <v>1.0</v>
      </c>
      <c r="O24" s="100"/>
      <c r="P24" s="100">
        <v>1.0</v>
      </c>
      <c r="Q24" s="100">
        <v>7.0</v>
      </c>
      <c r="R24" s="100"/>
      <c r="S24" s="100"/>
      <c r="T24" s="100"/>
      <c r="U24" s="100"/>
      <c r="V24" s="100"/>
      <c r="W24" s="100">
        <v>1.0</v>
      </c>
      <c r="X24" s="100"/>
      <c r="Y24" s="100">
        <v>13.0</v>
      </c>
      <c r="Z24" s="85"/>
    </row>
    <row r="25">
      <c r="A25" s="97" t="s">
        <v>40</v>
      </c>
      <c r="B25" s="98">
        <v>13.0</v>
      </c>
      <c r="C25" s="98">
        <v>11.0</v>
      </c>
      <c r="D25" s="98">
        <v>11.0</v>
      </c>
      <c r="E25" s="98">
        <v>11.0</v>
      </c>
      <c r="F25" s="98">
        <v>13.0</v>
      </c>
      <c r="G25" s="98">
        <v>10.0</v>
      </c>
      <c r="H25" s="98">
        <v>8.0</v>
      </c>
      <c r="I25" s="98">
        <v>4.0</v>
      </c>
      <c r="J25" s="98">
        <v>10.0</v>
      </c>
      <c r="K25" s="98">
        <v>3.0</v>
      </c>
      <c r="L25" s="98">
        <v>1.0</v>
      </c>
      <c r="M25" s="98">
        <v>7.0</v>
      </c>
      <c r="N25" s="98">
        <v>9.0</v>
      </c>
      <c r="O25" s="98">
        <v>5.0</v>
      </c>
      <c r="P25" s="98">
        <v>8.0</v>
      </c>
      <c r="Q25" s="98">
        <v>3.0</v>
      </c>
      <c r="R25" s="98">
        <v>3.0</v>
      </c>
      <c r="S25" s="98">
        <v>1.0</v>
      </c>
      <c r="T25" s="98"/>
      <c r="U25" s="98">
        <v>2.0</v>
      </c>
      <c r="V25" s="98">
        <v>4.0</v>
      </c>
      <c r="W25" s="98"/>
      <c r="X25" s="98">
        <v>1.0</v>
      </c>
      <c r="Y25" s="98">
        <v>10.0</v>
      </c>
      <c r="Z25" s="85"/>
    </row>
    <row r="26">
      <c r="A26" s="99" t="s">
        <v>42</v>
      </c>
      <c r="B26" s="100">
        <v>3.0</v>
      </c>
      <c r="C26" s="100">
        <v>2.0</v>
      </c>
      <c r="D26" s="100">
        <v>3.0</v>
      </c>
      <c r="E26" s="100">
        <v>2.0</v>
      </c>
      <c r="F26" s="100">
        <v>3.0</v>
      </c>
      <c r="G26" s="100">
        <v>2.0</v>
      </c>
      <c r="H26" s="100">
        <v>3.0</v>
      </c>
      <c r="I26" s="100">
        <v>2.0</v>
      </c>
      <c r="J26" s="100"/>
      <c r="K26" s="100">
        <v>1.0</v>
      </c>
      <c r="L26" s="100"/>
      <c r="M26" s="100"/>
      <c r="N26" s="100"/>
      <c r="O26" s="100"/>
      <c r="P26" s="100"/>
      <c r="Q26" s="100"/>
      <c r="R26" s="100">
        <v>1.0</v>
      </c>
      <c r="S26" s="100"/>
      <c r="T26" s="100"/>
      <c r="U26" s="100">
        <v>1.0</v>
      </c>
      <c r="V26" s="100"/>
      <c r="W26" s="100"/>
      <c r="X26" s="100">
        <v>1.0</v>
      </c>
      <c r="Y26" s="100">
        <v>7.0</v>
      </c>
      <c r="Z26" s="85"/>
    </row>
    <row r="27">
      <c r="A27" s="97" t="s">
        <v>44</v>
      </c>
      <c r="B27" s="98">
        <v>26.0</v>
      </c>
      <c r="C27" s="98">
        <v>17.0</v>
      </c>
      <c r="D27" s="98">
        <v>23.0</v>
      </c>
      <c r="E27" s="98">
        <v>19.0</v>
      </c>
      <c r="F27" s="98">
        <v>17.0</v>
      </c>
      <c r="G27" s="98">
        <v>24.0</v>
      </c>
      <c r="H27" s="98">
        <v>22.0</v>
      </c>
      <c r="I27" s="98">
        <v>14.0</v>
      </c>
      <c r="J27" s="98">
        <v>22.0</v>
      </c>
      <c r="K27" s="98">
        <v>22.0</v>
      </c>
      <c r="L27" s="98"/>
      <c r="M27" s="98">
        <v>2.0</v>
      </c>
      <c r="N27" s="98">
        <v>4.0</v>
      </c>
      <c r="O27" s="98">
        <v>6.0</v>
      </c>
      <c r="P27" s="98">
        <v>13.0</v>
      </c>
      <c r="Q27" s="98">
        <v>7.0</v>
      </c>
      <c r="R27" s="98">
        <v>7.0</v>
      </c>
      <c r="S27" s="98">
        <v>7.0</v>
      </c>
      <c r="T27" s="98">
        <v>10.0</v>
      </c>
      <c r="U27" s="98">
        <v>9.0</v>
      </c>
      <c r="V27" s="98">
        <v>3.0</v>
      </c>
      <c r="W27" s="98">
        <v>10.0</v>
      </c>
      <c r="X27" s="98">
        <v>1.0</v>
      </c>
      <c r="Y27" s="98">
        <v>13.0</v>
      </c>
      <c r="Z27" s="85"/>
    </row>
    <row r="28">
      <c r="A28" s="99" t="s">
        <v>46</v>
      </c>
      <c r="B28" s="100">
        <v>1.0</v>
      </c>
      <c r="C28" s="100"/>
      <c r="D28" s="100">
        <v>1.0</v>
      </c>
      <c r="E28" s="100"/>
      <c r="F28" s="100"/>
      <c r="G28" s="100">
        <v>1.0</v>
      </c>
      <c r="H28" s="100">
        <v>1.0</v>
      </c>
      <c r="I28" s="100"/>
      <c r="J28" s="100"/>
      <c r="K28" s="100"/>
      <c r="L28" s="100"/>
      <c r="M28" s="100"/>
      <c r="N28" s="100"/>
      <c r="O28" s="100"/>
      <c r="P28" s="100"/>
      <c r="Q28" s="100"/>
      <c r="R28" s="100">
        <v>6.0</v>
      </c>
      <c r="S28" s="100">
        <v>2.0</v>
      </c>
      <c r="T28" s="100">
        <v>8.0</v>
      </c>
      <c r="U28" s="100">
        <v>3.0</v>
      </c>
      <c r="V28" s="100">
        <v>8.0</v>
      </c>
      <c r="W28" s="100">
        <v>9.0</v>
      </c>
      <c r="X28" s="100">
        <v>5.0</v>
      </c>
      <c r="Y28" s="100"/>
      <c r="Z28" s="85"/>
    </row>
    <row r="29">
      <c r="A29" s="101" t="s">
        <v>2</v>
      </c>
      <c r="B29" s="88"/>
      <c r="C29" s="88"/>
      <c r="D29" s="88"/>
      <c r="E29" s="88"/>
      <c r="F29" s="88"/>
      <c r="G29" s="88"/>
      <c r="H29" s="88"/>
      <c r="I29" s="90">
        <v>1.0</v>
      </c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5"/>
    </row>
    <row r="30">
      <c r="A30" s="97" t="s">
        <v>8</v>
      </c>
      <c r="B30" s="98">
        <v>2.0</v>
      </c>
      <c r="C30" s="98"/>
      <c r="D30" s="98">
        <v>1.0</v>
      </c>
      <c r="E30" s="98">
        <v>3.0</v>
      </c>
      <c r="F30" s="98">
        <v>2.0</v>
      </c>
      <c r="G30" s="98"/>
      <c r="H30" s="98">
        <v>1.0</v>
      </c>
      <c r="I30" s="98"/>
      <c r="J30" s="98"/>
      <c r="K30" s="98"/>
      <c r="L30" s="98">
        <v>23.0</v>
      </c>
      <c r="M30" s="98">
        <v>16.0</v>
      </c>
      <c r="N30" s="98">
        <v>2.0</v>
      </c>
      <c r="O30" s="98">
        <v>1.0</v>
      </c>
      <c r="P30" s="98">
        <v>2.0</v>
      </c>
      <c r="Q30" s="98">
        <v>4.0</v>
      </c>
      <c r="R30" s="98"/>
      <c r="S30" s="98">
        <v>4.0</v>
      </c>
      <c r="T30" s="98">
        <v>2.0</v>
      </c>
      <c r="U30" s="98"/>
      <c r="V30" s="98"/>
      <c r="W30" s="98">
        <v>1.0</v>
      </c>
      <c r="X30" s="98"/>
      <c r="Y30" s="98"/>
      <c r="Z30" s="85"/>
    </row>
    <row r="31">
      <c r="A31" s="99" t="s">
        <v>14</v>
      </c>
      <c r="B31" s="100">
        <v>10.0</v>
      </c>
      <c r="C31" s="100">
        <v>14.0</v>
      </c>
      <c r="D31" s="100">
        <v>8.0</v>
      </c>
      <c r="E31" s="100">
        <v>20.0</v>
      </c>
      <c r="F31" s="100">
        <v>12.0</v>
      </c>
      <c r="G31" s="100">
        <v>20.0</v>
      </c>
      <c r="H31" s="100">
        <v>16.0</v>
      </c>
      <c r="I31" s="100">
        <v>17.0</v>
      </c>
      <c r="J31" s="100">
        <v>29.0</v>
      </c>
      <c r="K31" s="100">
        <v>21.0</v>
      </c>
      <c r="L31" s="100">
        <v>14.0</v>
      </c>
      <c r="M31" s="100">
        <v>11.0</v>
      </c>
      <c r="N31" s="100">
        <v>11.0</v>
      </c>
      <c r="O31" s="100">
        <v>12.0</v>
      </c>
      <c r="P31" s="100">
        <v>14.0</v>
      </c>
      <c r="Q31" s="100">
        <v>12.0</v>
      </c>
      <c r="R31" s="100">
        <v>8.0</v>
      </c>
      <c r="S31" s="100">
        <v>15.0</v>
      </c>
      <c r="T31" s="100">
        <v>8.0</v>
      </c>
      <c r="U31" s="100">
        <v>4.0</v>
      </c>
      <c r="V31" s="100">
        <v>6.0</v>
      </c>
      <c r="W31" s="100">
        <v>12.0</v>
      </c>
      <c r="X31" s="100">
        <v>9.0</v>
      </c>
      <c r="Y31" s="100">
        <v>14.0</v>
      </c>
      <c r="Z31" s="85"/>
    </row>
    <row r="32">
      <c r="A32" s="97" t="s">
        <v>20</v>
      </c>
      <c r="B32" s="98">
        <v>18.0</v>
      </c>
      <c r="C32" s="98">
        <v>21.0</v>
      </c>
      <c r="D32" s="98">
        <v>20.0</v>
      </c>
      <c r="E32" s="98">
        <v>21.0</v>
      </c>
      <c r="F32" s="98">
        <v>26.0</v>
      </c>
      <c r="G32" s="98">
        <v>17.0</v>
      </c>
      <c r="H32" s="98">
        <v>16.0</v>
      </c>
      <c r="I32" s="98">
        <v>11.0</v>
      </c>
      <c r="J32" s="98">
        <v>7.0</v>
      </c>
      <c r="K32" s="98">
        <v>8.0</v>
      </c>
      <c r="L32" s="98">
        <v>10.0</v>
      </c>
      <c r="M32" s="98">
        <v>8.0</v>
      </c>
      <c r="N32" s="98">
        <v>5.0</v>
      </c>
      <c r="O32" s="98">
        <v>5.0</v>
      </c>
      <c r="P32" s="98">
        <v>9.0</v>
      </c>
      <c r="Q32" s="98">
        <v>2.0</v>
      </c>
      <c r="R32" s="98"/>
      <c r="S32" s="98">
        <v>1.0</v>
      </c>
      <c r="T32" s="98">
        <v>1.0</v>
      </c>
      <c r="U32" s="98">
        <v>4.0</v>
      </c>
      <c r="V32" s="98">
        <v>6.0</v>
      </c>
      <c r="W32" s="98">
        <v>1.0</v>
      </c>
      <c r="X32" s="98">
        <v>3.0</v>
      </c>
      <c r="Y32" s="98">
        <v>8.0</v>
      </c>
      <c r="Z32" s="85"/>
    </row>
    <row r="33">
      <c r="A33" s="99" t="s">
        <v>26</v>
      </c>
      <c r="B33" s="100">
        <v>9.0</v>
      </c>
      <c r="C33" s="100">
        <v>10.0</v>
      </c>
      <c r="D33" s="100">
        <v>6.0</v>
      </c>
      <c r="E33" s="100">
        <v>12.0</v>
      </c>
      <c r="F33" s="100">
        <v>11.0</v>
      </c>
      <c r="G33" s="100">
        <v>4.0</v>
      </c>
      <c r="H33" s="100">
        <v>10.0</v>
      </c>
      <c r="I33" s="100">
        <v>2.0</v>
      </c>
      <c r="J33" s="100">
        <v>45.0</v>
      </c>
      <c r="K33" s="100">
        <v>20.0</v>
      </c>
      <c r="L33" s="100">
        <v>6.0</v>
      </c>
      <c r="M33" s="100">
        <v>2.0</v>
      </c>
      <c r="N33" s="100">
        <v>4.0</v>
      </c>
      <c r="O33" s="100">
        <v>4.0</v>
      </c>
      <c r="P33" s="100">
        <v>6.0</v>
      </c>
      <c r="Q33" s="100">
        <v>3.0</v>
      </c>
      <c r="R33" s="100">
        <v>2.0</v>
      </c>
      <c r="S33" s="100">
        <v>1.0</v>
      </c>
      <c r="T33" s="100">
        <v>3.0</v>
      </c>
      <c r="U33" s="100">
        <v>2.0</v>
      </c>
      <c r="V33" s="100">
        <v>1.0</v>
      </c>
      <c r="W33" s="100">
        <v>1.0</v>
      </c>
      <c r="X33" s="100">
        <v>1.0</v>
      </c>
      <c r="Y33" s="100">
        <v>2.0</v>
      </c>
      <c r="Z33" s="85"/>
    </row>
    <row r="34">
      <c r="A34" s="97" t="s">
        <v>31</v>
      </c>
      <c r="B34" s="98"/>
      <c r="C34" s="98"/>
      <c r="D34" s="98"/>
      <c r="E34" s="98">
        <v>1.0</v>
      </c>
      <c r="F34" s="98"/>
      <c r="G34" s="98">
        <v>1.0</v>
      </c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>
        <v>1.0</v>
      </c>
      <c r="T34" s="98"/>
      <c r="U34" s="98"/>
      <c r="V34" s="98"/>
      <c r="W34" s="98"/>
      <c r="X34" s="98"/>
      <c r="Y34" s="98"/>
      <c r="Z34" s="85"/>
    </row>
    <row r="35">
      <c r="A35" s="99" t="s">
        <v>36</v>
      </c>
      <c r="B35" s="100">
        <v>12.0</v>
      </c>
      <c r="C35" s="100">
        <v>11.0</v>
      </c>
      <c r="D35" s="100">
        <v>14.0</v>
      </c>
      <c r="E35" s="100">
        <v>9.0</v>
      </c>
      <c r="F35" s="100">
        <v>15.0</v>
      </c>
      <c r="G35" s="100">
        <v>19.0</v>
      </c>
      <c r="H35" s="100">
        <v>10.0</v>
      </c>
      <c r="I35" s="100">
        <v>8.0</v>
      </c>
      <c r="J35" s="100">
        <v>10.0</v>
      </c>
      <c r="K35" s="100">
        <v>4.0</v>
      </c>
      <c r="L35" s="100">
        <v>2.0</v>
      </c>
      <c r="M35" s="100">
        <v>1.0</v>
      </c>
      <c r="N35" s="100">
        <v>17.0</v>
      </c>
      <c r="O35" s="100">
        <v>29.0</v>
      </c>
      <c r="P35" s="100">
        <v>15.0</v>
      </c>
      <c r="Q35" s="100">
        <v>7.0</v>
      </c>
      <c r="R35" s="100">
        <v>8.0</v>
      </c>
      <c r="S35" s="100">
        <v>5.0</v>
      </c>
      <c r="T35" s="100">
        <v>10.0</v>
      </c>
      <c r="U35" s="100">
        <v>7.0</v>
      </c>
      <c r="V35" s="100">
        <v>11.0</v>
      </c>
      <c r="W35" s="100">
        <v>12.0</v>
      </c>
      <c r="X35" s="100">
        <v>7.0</v>
      </c>
      <c r="Y35" s="100">
        <v>17.0</v>
      </c>
      <c r="Z35" s="85"/>
    </row>
    <row r="36">
      <c r="A36" s="101" t="s">
        <v>3</v>
      </c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5"/>
    </row>
    <row r="37">
      <c r="A37" s="97" t="s">
        <v>9</v>
      </c>
      <c r="B37" s="98">
        <v>6.0</v>
      </c>
      <c r="C37" s="98">
        <v>7.0</v>
      </c>
      <c r="D37" s="98">
        <v>7.0</v>
      </c>
      <c r="E37" s="98">
        <v>5.0</v>
      </c>
      <c r="F37" s="98">
        <v>4.0</v>
      </c>
      <c r="G37" s="98">
        <v>4.0</v>
      </c>
      <c r="H37" s="98">
        <v>5.0</v>
      </c>
      <c r="I37" s="98">
        <v>2.0</v>
      </c>
      <c r="J37" s="98">
        <v>2.0</v>
      </c>
      <c r="K37" s="98"/>
      <c r="L37" s="98">
        <v>4.0</v>
      </c>
      <c r="M37" s="98">
        <v>8.0</v>
      </c>
      <c r="N37" s="98">
        <v>29.0</v>
      </c>
      <c r="O37" s="98">
        <v>7.0</v>
      </c>
      <c r="P37" s="98">
        <v>24.0</v>
      </c>
      <c r="Q37" s="98">
        <v>9.0</v>
      </c>
      <c r="R37" s="98">
        <v>1.0</v>
      </c>
      <c r="S37" s="98"/>
      <c r="T37" s="98"/>
      <c r="U37" s="98"/>
      <c r="V37" s="98">
        <v>1.0</v>
      </c>
      <c r="W37" s="98"/>
      <c r="X37" s="98"/>
      <c r="Y37" s="98">
        <v>12.0</v>
      </c>
      <c r="Z37" s="85"/>
    </row>
    <row r="38">
      <c r="A38" s="99" t="s">
        <v>15</v>
      </c>
      <c r="B38" s="100">
        <v>11.0</v>
      </c>
      <c r="C38" s="100">
        <v>9.0</v>
      </c>
      <c r="D38" s="100">
        <v>9.0</v>
      </c>
      <c r="E38" s="100">
        <v>8.0</v>
      </c>
      <c r="F38" s="100">
        <v>10.0</v>
      </c>
      <c r="G38" s="100">
        <v>7.0</v>
      </c>
      <c r="H38" s="100">
        <v>5.0</v>
      </c>
      <c r="I38" s="100">
        <v>2.0</v>
      </c>
      <c r="J38" s="100">
        <v>6.0</v>
      </c>
      <c r="K38" s="100">
        <v>4.0</v>
      </c>
      <c r="L38" s="100"/>
      <c r="M38" s="100">
        <v>2.0</v>
      </c>
      <c r="N38" s="100">
        <v>12.0</v>
      </c>
      <c r="O38" s="100">
        <v>16.0</v>
      </c>
      <c r="P38" s="100">
        <v>8.0</v>
      </c>
      <c r="Q38" s="100">
        <v>6.0</v>
      </c>
      <c r="R38" s="100">
        <v>4.0</v>
      </c>
      <c r="S38" s="100">
        <v>1.0</v>
      </c>
      <c r="T38" s="100"/>
      <c r="U38" s="100">
        <v>1.0</v>
      </c>
      <c r="V38" s="100">
        <v>2.0</v>
      </c>
      <c r="W38" s="100">
        <v>2.0</v>
      </c>
      <c r="X38" s="100">
        <v>2.0</v>
      </c>
      <c r="Y38" s="100">
        <v>1.0</v>
      </c>
      <c r="Z38" s="85"/>
    </row>
    <row r="39">
      <c r="A39" s="97" t="s">
        <v>21</v>
      </c>
      <c r="B39" s="98">
        <v>6.0</v>
      </c>
      <c r="C39" s="98">
        <v>2.0</v>
      </c>
      <c r="D39" s="98">
        <v>2.0</v>
      </c>
      <c r="E39" s="98">
        <v>2.0</v>
      </c>
      <c r="F39" s="98">
        <v>4.0</v>
      </c>
      <c r="G39" s="98">
        <v>4.0</v>
      </c>
      <c r="H39" s="98">
        <v>3.0</v>
      </c>
      <c r="I39" s="98">
        <v>1.0</v>
      </c>
      <c r="J39" s="98">
        <v>1.0</v>
      </c>
      <c r="K39" s="98"/>
      <c r="L39" s="98">
        <v>1.0</v>
      </c>
      <c r="M39" s="98">
        <v>2.0</v>
      </c>
      <c r="N39" s="98">
        <v>2.0</v>
      </c>
      <c r="O39" s="98">
        <v>2.0</v>
      </c>
      <c r="P39" s="98">
        <v>1.0</v>
      </c>
      <c r="Q39" s="98">
        <v>3.0</v>
      </c>
      <c r="R39" s="98"/>
      <c r="S39" s="98"/>
      <c r="T39" s="98"/>
      <c r="U39" s="98"/>
      <c r="V39" s="98"/>
      <c r="W39" s="98">
        <v>1.0</v>
      </c>
      <c r="X39" s="98">
        <v>1.0</v>
      </c>
      <c r="Y39" s="98">
        <v>1.0</v>
      </c>
      <c r="Z39" s="85"/>
    </row>
    <row r="40">
      <c r="A40" s="99" t="s">
        <v>27</v>
      </c>
      <c r="B40" s="100">
        <v>2.0</v>
      </c>
      <c r="C40" s="100">
        <v>1.0</v>
      </c>
      <c r="D40" s="100">
        <v>1.0</v>
      </c>
      <c r="E40" s="100"/>
      <c r="F40" s="100"/>
      <c r="G40" s="100">
        <v>1.0</v>
      </c>
      <c r="H40" s="100">
        <v>1.0</v>
      </c>
      <c r="I40" s="100"/>
      <c r="J40" s="100">
        <v>1.0</v>
      </c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85"/>
    </row>
    <row r="41">
      <c r="A41" s="97" t="s">
        <v>32</v>
      </c>
      <c r="B41" s="98">
        <v>23.0</v>
      </c>
      <c r="C41" s="98">
        <v>12.0</v>
      </c>
      <c r="D41" s="98">
        <v>19.0</v>
      </c>
      <c r="E41" s="98">
        <v>9.0</v>
      </c>
      <c r="F41" s="98">
        <v>14.0</v>
      </c>
      <c r="G41" s="98">
        <v>13.0</v>
      </c>
      <c r="H41" s="98">
        <v>17.0</v>
      </c>
      <c r="I41" s="98">
        <v>10.0</v>
      </c>
      <c r="J41" s="98">
        <v>14.0</v>
      </c>
      <c r="K41" s="98">
        <v>1.0</v>
      </c>
      <c r="L41" s="98"/>
      <c r="M41" s="98">
        <v>1.0</v>
      </c>
      <c r="N41" s="98">
        <v>13.0</v>
      </c>
      <c r="O41" s="98">
        <v>17.0</v>
      </c>
      <c r="P41" s="98">
        <v>20.0</v>
      </c>
      <c r="Q41" s="98">
        <v>2.0</v>
      </c>
      <c r="R41" s="98">
        <v>1.0</v>
      </c>
      <c r="S41" s="98"/>
      <c r="T41" s="98">
        <v>3.0</v>
      </c>
      <c r="U41" s="98">
        <v>3.0</v>
      </c>
      <c r="V41" s="98">
        <v>1.0</v>
      </c>
      <c r="W41" s="98"/>
      <c r="X41" s="98">
        <v>3.0</v>
      </c>
      <c r="Y41" s="98">
        <v>9.0</v>
      </c>
      <c r="Z41" s="85"/>
    </row>
    <row r="42">
      <c r="A42" s="99" t="s">
        <v>37</v>
      </c>
      <c r="B42" s="100">
        <v>10.0</v>
      </c>
      <c r="C42" s="100">
        <v>4.0</v>
      </c>
      <c r="D42" s="100">
        <v>11.0</v>
      </c>
      <c r="E42" s="100">
        <v>9.0</v>
      </c>
      <c r="F42" s="100">
        <v>12.0</v>
      </c>
      <c r="G42" s="100">
        <v>9.0</v>
      </c>
      <c r="H42" s="100">
        <v>7.0</v>
      </c>
      <c r="I42" s="100">
        <v>4.0</v>
      </c>
      <c r="J42" s="100">
        <v>5.0</v>
      </c>
      <c r="K42" s="100"/>
      <c r="L42" s="100">
        <v>6.0</v>
      </c>
      <c r="M42" s="100">
        <v>10.0</v>
      </c>
      <c r="N42" s="100">
        <v>8.0</v>
      </c>
      <c r="O42" s="100">
        <v>6.0</v>
      </c>
      <c r="P42" s="100">
        <v>5.0</v>
      </c>
      <c r="Q42" s="100">
        <v>18.0</v>
      </c>
      <c r="R42" s="100">
        <v>4.0</v>
      </c>
      <c r="S42" s="100"/>
      <c r="T42" s="100">
        <v>1.0</v>
      </c>
      <c r="U42" s="100">
        <v>2.0</v>
      </c>
      <c r="V42" s="100">
        <v>1.0</v>
      </c>
      <c r="W42" s="100">
        <v>1.0</v>
      </c>
      <c r="X42" s="100">
        <v>3.0</v>
      </c>
      <c r="Y42" s="100">
        <v>31.0</v>
      </c>
      <c r="Z42" s="85"/>
    </row>
    <row r="43">
      <c r="A43" s="101" t="s">
        <v>4</v>
      </c>
      <c r="B43" s="88"/>
      <c r="C43" s="88"/>
      <c r="D43" s="88"/>
      <c r="E43" s="88"/>
      <c r="F43" s="88"/>
      <c r="G43" s="88"/>
      <c r="H43" s="88"/>
      <c r="I43" s="90">
        <v>1.0</v>
      </c>
      <c r="J43" s="88"/>
      <c r="K43" s="88"/>
      <c r="L43" s="88"/>
      <c r="M43" s="88"/>
      <c r="N43" s="88"/>
      <c r="O43" s="88"/>
      <c r="P43" s="90">
        <v>1.0</v>
      </c>
      <c r="Q43" s="88"/>
      <c r="R43" s="88"/>
      <c r="S43" s="88"/>
      <c r="T43" s="88"/>
      <c r="U43" s="88"/>
      <c r="V43" s="88"/>
      <c r="W43" s="88"/>
      <c r="X43" s="88"/>
      <c r="Y43" s="90">
        <v>2.0</v>
      </c>
      <c r="Z43" s="85"/>
    </row>
    <row r="44">
      <c r="A44" s="97" t="s">
        <v>10</v>
      </c>
      <c r="B44" s="98">
        <v>10.0</v>
      </c>
      <c r="C44" s="98">
        <v>3.0</v>
      </c>
      <c r="D44" s="98">
        <v>9.0</v>
      </c>
      <c r="E44" s="98">
        <v>8.0</v>
      </c>
      <c r="F44" s="98">
        <v>6.0</v>
      </c>
      <c r="G44" s="98">
        <v>7.0</v>
      </c>
      <c r="H44" s="98">
        <v>5.0</v>
      </c>
      <c r="I44" s="98">
        <v>8.0</v>
      </c>
      <c r="J44" s="98">
        <v>3.0</v>
      </c>
      <c r="K44" s="98">
        <v>1.0</v>
      </c>
      <c r="L44" s="98">
        <v>6.0</v>
      </c>
      <c r="M44" s="98">
        <v>2.0</v>
      </c>
      <c r="N44" s="98">
        <v>21.0</v>
      </c>
      <c r="O44" s="98">
        <v>25.0</v>
      </c>
      <c r="P44" s="98">
        <v>13.0</v>
      </c>
      <c r="Q44" s="98">
        <v>36.0</v>
      </c>
      <c r="R44" s="98">
        <v>2.0</v>
      </c>
      <c r="S44" s="98">
        <v>6.0</v>
      </c>
      <c r="T44" s="98">
        <v>1.0</v>
      </c>
      <c r="U44" s="98">
        <v>5.0</v>
      </c>
      <c r="V44" s="98">
        <v>6.0</v>
      </c>
      <c r="W44" s="98">
        <v>1.0</v>
      </c>
      <c r="X44" s="98">
        <v>4.0</v>
      </c>
      <c r="Y44" s="98">
        <v>4.0</v>
      </c>
      <c r="Z44" s="85"/>
    </row>
    <row r="45">
      <c r="A45" s="99" t="s">
        <v>16</v>
      </c>
      <c r="B45" s="100"/>
      <c r="C45" s="100"/>
      <c r="D45" s="100">
        <v>1.0</v>
      </c>
      <c r="E45" s="100">
        <v>2.0</v>
      </c>
      <c r="F45" s="100">
        <v>1.0</v>
      </c>
      <c r="G45" s="100"/>
      <c r="H45" s="100">
        <v>2.0</v>
      </c>
      <c r="I45" s="100"/>
      <c r="J45" s="100"/>
      <c r="K45" s="100">
        <v>1.0</v>
      </c>
      <c r="L45" s="100">
        <v>1.0</v>
      </c>
      <c r="M45" s="100"/>
      <c r="N45" s="100"/>
      <c r="O45" s="100"/>
      <c r="P45" s="100"/>
      <c r="Q45" s="100"/>
      <c r="R45" s="100">
        <v>20.0</v>
      </c>
      <c r="S45" s="100">
        <v>22.0</v>
      </c>
      <c r="T45" s="100">
        <v>25.0</v>
      </c>
      <c r="U45" s="100">
        <v>28.0</v>
      </c>
      <c r="V45" s="100">
        <v>23.0</v>
      </c>
      <c r="W45" s="100">
        <v>23.0</v>
      </c>
      <c r="X45" s="100">
        <v>32.0</v>
      </c>
      <c r="Y45" s="100"/>
      <c r="Z45" s="85"/>
    </row>
    <row r="46">
      <c r="A46" s="97" t="s">
        <v>22</v>
      </c>
      <c r="B46" s="98">
        <v>3.0</v>
      </c>
      <c r="C46" s="98">
        <v>4.0</v>
      </c>
      <c r="D46" s="98">
        <v>2.0</v>
      </c>
      <c r="E46" s="98">
        <v>2.0</v>
      </c>
      <c r="F46" s="98">
        <v>2.0</v>
      </c>
      <c r="G46" s="98"/>
      <c r="H46" s="98">
        <v>4.0</v>
      </c>
      <c r="I46" s="98">
        <v>1.0</v>
      </c>
      <c r="J46" s="98">
        <v>1.0</v>
      </c>
      <c r="K46" s="98"/>
      <c r="L46" s="98"/>
      <c r="M46" s="98"/>
      <c r="N46" s="98">
        <v>2.0</v>
      </c>
      <c r="O46" s="98">
        <v>6.0</v>
      </c>
      <c r="P46" s="98">
        <v>4.0</v>
      </c>
      <c r="Q46" s="98">
        <v>36.0</v>
      </c>
      <c r="R46" s="98">
        <v>1.0</v>
      </c>
      <c r="S46" s="98">
        <v>2.0</v>
      </c>
      <c r="T46" s="98">
        <v>1.0</v>
      </c>
      <c r="U46" s="98">
        <v>1.0</v>
      </c>
      <c r="V46" s="98">
        <v>1.0</v>
      </c>
      <c r="W46" s="98">
        <v>1.0</v>
      </c>
      <c r="X46" s="98">
        <v>1.0</v>
      </c>
      <c r="Y46" s="98">
        <v>3.0</v>
      </c>
      <c r="Z46" s="85"/>
    </row>
    <row r="47">
      <c r="A47" s="99" t="s">
        <v>28</v>
      </c>
      <c r="B47" s="100"/>
      <c r="C47" s="100"/>
      <c r="D47" s="100"/>
      <c r="E47" s="100"/>
      <c r="F47" s="100">
        <v>2.0</v>
      </c>
      <c r="G47" s="100">
        <v>1.0</v>
      </c>
      <c r="H47" s="100">
        <v>1.0</v>
      </c>
      <c r="I47" s="100">
        <v>2.0</v>
      </c>
      <c r="J47" s="100"/>
      <c r="K47" s="100"/>
      <c r="L47" s="100">
        <v>3.0</v>
      </c>
      <c r="M47" s="100"/>
      <c r="N47" s="100">
        <v>5.0</v>
      </c>
      <c r="O47" s="100">
        <v>4.0</v>
      </c>
      <c r="P47" s="100">
        <v>2.0</v>
      </c>
      <c r="Q47" s="100"/>
      <c r="R47" s="100">
        <v>2.0</v>
      </c>
      <c r="S47" s="100">
        <v>2.0</v>
      </c>
      <c r="T47" s="100">
        <v>3.0</v>
      </c>
      <c r="U47" s="100">
        <v>1.0</v>
      </c>
      <c r="V47" s="100">
        <v>6.0</v>
      </c>
      <c r="W47" s="100">
        <v>4.0</v>
      </c>
      <c r="X47" s="100"/>
      <c r="Y47" s="100"/>
      <c r="Z47" s="85"/>
    </row>
    <row r="48">
      <c r="A48" s="97" t="s">
        <v>33</v>
      </c>
      <c r="B48" s="98">
        <v>1.0</v>
      </c>
      <c r="C48" s="98">
        <v>1.0</v>
      </c>
      <c r="D48" s="98">
        <v>2.0</v>
      </c>
      <c r="E48" s="98">
        <v>2.0</v>
      </c>
      <c r="F48" s="98">
        <v>4.0</v>
      </c>
      <c r="G48" s="98">
        <v>1.0</v>
      </c>
      <c r="H48" s="98">
        <v>4.0</v>
      </c>
      <c r="I48" s="98">
        <v>2.0</v>
      </c>
      <c r="J48" s="98"/>
      <c r="K48" s="98"/>
      <c r="L48" s="98"/>
      <c r="M48" s="98"/>
      <c r="N48" s="98"/>
      <c r="O48" s="98"/>
      <c r="P48" s="98"/>
      <c r="Q48" s="98"/>
      <c r="R48" s="98"/>
      <c r="S48" s="98">
        <v>1.0</v>
      </c>
      <c r="T48" s="98">
        <v>1.0</v>
      </c>
      <c r="U48" s="98"/>
      <c r="V48" s="98"/>
      <c r="W48" s="98"/>
      <c r="X48" s="98"/>
      <c r="Y48" s="98"/>
      <c r="Z48" s="85"/>
    </row>
    <row r="49">
      <c r="A49" s="99" t="s">
        <v>38</v>
      </c>
      <c r="B49" s="100">
        <v>2.0</v>
      </c>
      <c r="C49" s="100">
        <v>1.0</v>
      </c>
      <c r="D49" s="100">
        <v>1.0</v>
      </c>
      <c r="E49" s="100">
        <v>2.0</v>
      </c>
      <c r="F49" s="100">
        <v>2.0</v>
      </c>
      <c r="G49" s="100"/>
      <c r="H49" s="100"/>
      <c r="I49" s="100"/>
      <c r="J49" s="100">
        <v>2.0</v>
      </c>
      <c r="K49" s="100"/>
      <c r="L49" s="100"/>
      <c r="M49" s="100"/>
      <c r="N49" s="100">
        <v>1.0</v>
      </c>
      <c r="O49" s="100"/>
      <c r="P49" s="100"/>
      <c r="Q49" s="100"/>
      <c r="R49" s="100">
        <v>21.0</v>
      </c>
      <c r="S49" s="100">
        <v>17.0</v>
      </c>
      <c r="T49" s="100">
        <v>13.0</v>
      </c>
      <c r="U49" s="100">
        <v>17.0</v>
      </c>
      <c r="V49" s="100">
        <v>8.0</v>
      </c>
      <c r="W49" s="100">
        <v>15.0</v>
      </c>
      <c r="X49" s="100">
        <v>19.0</v>
      </c>
      <c r="Y49" s="100"/>
      <c r="Z49" s="85"/>
    </row>
    <row r="50">
      <c r="A50" s="101" t="s">
        <v>5</v>
      </c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5"/>
    </row>
    <row r="51">
      <c r="A51" s="97" t="s">
        <v>11</v>
      </c>
      <c r="B51" s="98">
        <v>1.0</v>
      </c>
      <c r="C51" s="98"/>
      <c r="D51" s="98">
        <v>1.0</v>
      </c>
      <c r="E51" s="98"/>
      <c r="F51" s="98"/>
      <c r="G51" s="98">
        <v>1.0</v>
      </c>
      <c r="H51" s="98"/>
      <c r="I51" s="98"/>
      <c r="J51" s="98"/>
      <c r="K51" s="98">
        <v>2.0</v>
      </c>
      <c r="L51" s="98">
        <v>6.0</v>
      </c>
      <c r="M51" s="98">
        <v>5.0</v>
      </c>
      <c r="N51" s="98"/>
      <c r="O51" s="98"/>
      <c r="P51" s="98">
        <v>1.0</v>
      </c>
      <c r="Q51" s="98"/>
      <c r="R51" s="98"/>
      <c r="S51" s="98"/>
      <c r="T51" s="98">
        <v>2.0</v>
      </c>
      <c r="U51" s="98"/>
      <c r="V51" s="98"/>
      <c r="W51" s="98"/>
      <c r="X51" s="98"/>
      <c r="Y51" s="98">
        <v>1.0</v>
      </c>
      <c r="Z51" s="85"/>
    </row>
    <row r="52">
      <c r="A52" s="99" t="s">
        <v>17</v>
      </c>
      <c r="B52" s="100">
        <v>3.0</v>
      </c>
      <c r="C52" s="100">
        <v>3.0</v>
      </c>
      <c r="D52" s="100">
        <v>4.0</v>
      </c>
      <c r="E52" s="100">
        <v>4.0</v>
      </c>
      <c r="F52" s="100">
        <v>2.0</v>
      </c>
      <c r="G52" s="100">
        <v>6.0</v>
      </c>
      <c r="H52" s="100">
        <v>5.0</v>
      </c>
      <c r="I52" s="100"/>
      <c r="J52" s="100">
        <v>1.0</v>
      </c>
      <c r="K52" s="100">
        <v>3.0</v>
      </c>
      <c r="L52" s="100">
        <v>6.0</v>
      </c>
      <c r="M52" s="100">
        <v>6.0</v>
      </c>
      <c r="N52" s="100">
        <v>2.0</v>
      </c>
      <c r="O52" s="100">
        <v>2.0</v>
      </c>
      <c r="P52" s="100">
        <v>9.0</v>
      </c>
      <c r="Q52" s="100"/>
      <c r="R52" s="100">
        <v>2.0</v>
      </c>
      <c r="S52" s="100">
        <v>6.0</v>
      </c>
      <c r="T52" s="100">
        <v>1.0</v>
      </c>
      <c r="U52" s="100">
        <v>1.0</v>
      </c>
      <c r="V52" s="100"/>
      <c r="W52" s="100">
        <v>2.0</v>
      </c>
      <c r="X52" s="100">
        <v>3.0</v>
      </c>
      <c r="Y52" s="100">
        <v>3.0</v>
      </c>
      <c r="Z52" s="85"/>
    </row>
    <row r="53">
      <c r="A53" s="97" t="s">
        <v>23</v>
      </c>
      <c r="B53" s="98">
        <v>7.0</v>
      </c>
      <c r="C53" s="98">
        <v>2.0</v>
      </c>
      <c r="D53" s="98">
        <v>7.0</v>
      </c>
      <c r="E53" s="98">
        <v>12.0</v>
      </c>
      <c r="F53" s="98">
        <v>3.0</v>
      </c>
      <c r="G53" s="98">
        <v>5.0</v>
      </c>
      <c r="H53" s="98">
        <v>7.0</v>
      </c>
      <c r="I53" s="98">
        <v>1.0</v>
      </c>
      <c r="J53" s="98"/>
      <c r="K53" s="98"/>
      <c r="L53" s="98">
        <v>5.0</v>
      </c>
      <c r="M53" s="98">
        <v>3.0</v>
      </c>
      <c r="N53" s="98">
        <v>2.0</v>
      </c>
      <c r="O53" s="98"/>
      <c r="P53" s="98">
        <v>2.0</v>
      </c>
      <c r="Q53" s="98">
        <v>2.0</v>
      </c>
      <c r="R53" s="98">
        <v>2.0</v>
      </c>
      <c r="S53" s="98">
        <v>3.0</v>
      </c>
      <c r="T53" s="98">
        <v>1.0</v>
      </c>
      <c r="U53" s="98">
        <v>1.0</v>
      </c>
      <c r="V53" s="98">
        <v>2.0</v>
      </c>
      <c r="W53" s="98">
        <v>6.0</v>
      </c>
      <c r="X53" s="98">
        <v>1.0</v>
      </c>
      <c r="Y53" s="98">
        <v>2.0</v>
      </c>
      <c r="Z53" s="85"/>
    </row>
    <row r="54">
      <c r="A54" s="102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>
      <c r="A55" s="102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>
      <c r="A56" s="103" t="s">
        <v>56</v>
      </c>
      <c r="B56" s="104">
        <v>5.0</v>
      </c>
      <c r="C56" s="104">
        <v>5.0</v>
      </c>
      <c r="D56" s="104"/>
      <c r="E56" s="104">
        <v>4.0</v>
      </c>
      <c r="F56" s="104">
        <v>1.0</v>
      </c>
      <c r="G56" s="104">
        <v>3.0</v>
      </c>
      <c r="H56" s="104">
        <v>3.0</v>
      </c>
      <c r="I56" s="85"/>
      <c r="J56" s="85"/>
      <c r="K56" s="85"/>
      <c r="L56" s="104">
        <v>3.0</v>
      </c>
      <c r="M56" s="104">
        <v>3.0</v>
      </c>
      <c r="N56" s="104">
        <v>4.0</v>
      </c>
      <c r="O56" s="104">
        <v>1.0</v>
      </c>
      <c r="P56" s="104">
        <v>5.0</v>
      </c>
      <c r="Q56" s="104">
        <v>3.0</v>
      </c>
      <c r="R56" s="104">
        <v>1.0</v>
      </c>
      <c r="S56" s="104">
        <v>7.0</v>
      </c>
      <c r="T56" s="104">
        <v>2.0</v>
      </c>
      <c r="U56" s="104">
        <v>2.0</v>
      </c>
      <c r="V56" s="104">
        <v>4.0</v>
      </c>
      <c r="W56" s="104">
        <v>2.0</v>
      </c>
      <c r="X56" s="104">
        <v>3.0</v>
      </c>
      <c r="Y56" s="104">
        <v>1.0</v>
      </c>
      <c r="Z56" s="85">
        <f t="shared" ref="Z56:Z57" si="1">SUM(B56:Y56)</f>
        <v>62</v>
      </c>
    </row>
    <row r="57">
      <c r="A57" s="103" t="s">
        <v>1</v>
      </c>
      <c r="B57" s="104">
        <v>1.0</v>
      </c>
      <c r="C57" s="85"/>
      <c r="D57" s="85"/>
      <c r="E57" s="85"/>
      <c r="F57" s="104">
        <v>2.0</v>
      </c>
      <c r="G57" s="85"/>
      <c r="H57" s="104">
        <v>1.0</v>
      </c>
      <c r="I57" s="85"/>
      <c r="J57" s="85"/>
      <c r="K57" s="104">
        <v>2.0</v>
      </c>
      <c r="L57" s="85"/>
      <c r="M57" s="85"/>
      <c r="N57" s="85"/>
      <c r="O57" s="104">
        <v>1.0</v>
      </c>
      <c r="P57" s="85"/>
      <c r="Q57" s="85"/>
      <c r="R57" s="104">
        <v>3.0</v>
      </c>
      <c r="S57" s="85"/>
      <c r="T57" s="85"/>
      <c r="U57" s="104">
        <v>2.0</v>
      </c>
      <c r="V57" s="104">
        <v>2.0</v>
      </c>
      <c r="W57" s="104">
        <v>2.0</v>
      </c>
      <c r="X57" s="85"/>
      <c r="Y57" s="85"/>
      <c r="Z57" s="85">
        <f t="shared" si="1"/>
        <v>16</v>
      </c>
    </row>
    <row r="58">
      <c r="A58" s="102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>
      <c r="A59" s="102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>
      <c r="A60" s="102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>
      <c r="A61" s="102"/>
      <c r="B61" s="85"/>
      <c r="C61" s="105" t="s">
        <v>80</v>
      </c>
      <c r="D61" s="61"/>
      <c r="E61" s="2"/>
      <c r="F61" s="105" t="s">
        <v>81</v>
      </c>
      <c r="G61" s="2"/>
      <c r="H61" s="105" t="s">
        <v>82</v>
      </c>
      <c r="I61" s="2"/>
      <c r="J61" s="105" t="s">
        <v>83</v>
      </c>
      <c r="K61" s="2"/>
      <c r="L61" s="105" t="s">
        <v>84</v>
      </c>
      <c r="M61" s="2"/>
      <c r="N61" s="105" t="s">
        <v>85</v>
      </c>
      <c r="O61" s="2"/>
      <c r="P61" s="105" t="s">
        <v>86</v>
      </c>
      <c r="Q61" s="2"/>
      <c r="R61" s="85"/>
      <c r="S61" s="85"/>
      <c r="T61" s="85"/>
      <c r="U61" s="85"/>
      <c r="V61" s="85"/>
      <c r="W61" s="85"/>
      <c r="X61" s="85"/>
      <c r="Y61" s="85"/>
      <c r="Z61" s="85"/>
    </row>
    <row r="62">
      <c r="A62" s="102"/>
      <c r="B62" s="85"/>
      <c r="C62" s="106" t="s">
        <v>57</v>
      </c>
      <c r="D62" s="107">
        <f t="shared" ref="D62:D64" si="2">SUM(B4:I4)</f>
        <v>1105</v>
      </c>
      <c r="E62" s="108">
        <f>D62-D63</f>
        <v>55</v>
      </c>
      <c r="F62" s="107">
        <f t="shared" ref="F62:F64" si="3">J4+K4</f>
        <v>172</v>
      </c>
      <c r="G62" s="109">
        <f>F62-F63</f>
        <v>-6</v>
      </c>
      <c r="H62" s="107">
        <f t="shared" ref="H62:H64" si="4">L4+M4</f>
        <v>206</v>
      </c>
      <c r="I62" s="108">
        <f>H62-H63</f>
        <v>64</v>
      </c>
      <c r="J62" s="107">
        <f t="shared" ref="J62:J64" si="5">SUM(N4:P4)</f>
        <v>378</v>
      </c>
      <c r="K62" s="109">
        <f>J62-J63</f>
        <v>-32</v>
      </c>
      <c r="L62" s="100">
        <v>99.0</v>
      </c>
      <c r="M62" s="109">
        <f>L62-L63</f>
        <v>-29</v>
      </c>
      <c r="N62" s="107">
        <f t="shared" ref="N62:N64" si="6">SUM(R4:X4)</f>
        <v>935</v>
      </c>
      <c r="O62" s="108">
        <f>N62-N63</f>
        <v>251</v>
      </c>
      <c r="P62" s="100">
        <v>105.0</v>
      </c>
      <c r="Q62" s="109">
        <f>P62-P63</f>
        <v>-13</v>
      </c>
      <c r="R62" s="85"/>
      <c r="S62" s="85"/>
      <c r="T62" s="85"/>
      <c r="U62" s="85"/>
      <c r="V62" s="85"/>
      <c r="W62" s="85"/>
      <c r="X62" s="85"/>
      <c r="Y62" s="85"/>
      <c r="Z62" s="85"/>
    </row>
    <row r="63">
      <c r="A63" s="102"/>
      <c r="B63" s="85"/>
      <c r="C63" s="106" t="s">
        <v>37</v>
      </c>
      <c r="D63" s="107">
        <f t="shared" si="2"/>
        <v>1050</v>
      </c>
      <c r="E63" s="107"/>
      <c r="F63" s="107">
        <f t="shared" si="3"/>
        <v>178</v>
      </c>
      <c r="G63" s="107"/>
      <c r="H63" s="107">
        <f t="shared" si="4"/>
        <v>142</v>
      </c>
      <c r="I63" s="107"/>
      <c r="J63" s="107">
        <f t="shared" si="5"/>
        <v>410</v>
      </c>
      <c r="K63" s="107"/>
      <c r="L63" s="100">
        <v>128.0</v>
      </c>
      <c r="M63" s="107"/>
      <c r="N63" s="107">
        <f t="shared" si="6"/>
        <v>684</v>
      </c>
      <c r="O63" s="107"/>
      <c r="P63" s="100">
        <v>118.0</v>
      </c>
      <c r="Q63" s="107"/>
      <c r="R63" s="85"/>
      <c r="S63" s="85"/>
      <c r="T63" s="85"/>
      <c r="U63" s="85"/>
      <c r="V63" s="85"/>
      <c r="W63" s="85"/>
      <c r="X63" s="85"/>
      <c r="Y63" s="85"/>
      <c r="Z63" s="85"/>
    </row>
    <row r="64">
      <c r="A64" s="102"/>
      <c r="B64" s="85"/>
      <c r="C64" s="106" t="s">
        <v>58</v>
      </c>
      <c r="D64" s="107">
        <f t="shared" si="2"/>
        <v>265</v>
      </c>
      <c r="E64" s="107"/>
      <c r="F64" s="107">
        <f t="shared" si="3"/>
        <v>47</v>
      </c>
      <c r="G64" s="107"/>
      <c r="H64" s="107">
        <f t="shared" si="4"/>
        <v>43</v>
      </c>
      <c r="I64" s="107"/>
      <c r="J64" s="107">
        <f t="shared" si="5"/>
        <v>104</v>
      </c>
      <c r="K64" s="107"/>
      <c r="L64" s="100">
        <v>39.0</v>
      </c>
      <c r="M64" s="107"/>
      <c r="N64" s="107">
        <f t="shared" si="6"/>
        <v>42</v>
      </c>
      <c r="O64" s="107"/>
      <c r="P64" s="100">
        <v>47.0</v>
      </c>
      <c r="Q64" s="107"/>
      <c r="R64" s="85"/>
      <c r="S64" s="85"/>
      <c r="T64" s="85"/>
      <c r="U64" s="85"/>
      <c r="V64" s="85"/>
      <c r="W64" s="85"/>
      <c r="X64" s="85"/>
      <c r="Y64" s="85"/>
      <c r="Z64" s="85"/>
    </row>
    <row r="65">
      <c r="A65" s="102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>
      <c r="A66" s="102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>
      <c r="A67" s="102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>
      <c r="A68" s="102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>
      <c r="A69" s="102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>
      <c r="A70" s="102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>
      <c r="A71" s="102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>
      <c r="A72" s="102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>
      <c r="A73" s="102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>
      <c r="A74" s="102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>
      <c r="A75" s="102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>
      <c r="A76" s="102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>
      <c r="A77" s="102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>
      <c r="A78" s="102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>
      <c r="A79" s="102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>
      <c r="A80" s="102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>
      <c r="A81" s="102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>
      <c r="A82" s="102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>
      <c r="A83" s="102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>
      <c r="A84" s="102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>
      <c r="A85" s="102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>
      <c r="A86" s="102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>
      <c r="A87" s="102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>
      <c r="A88" s="102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>
      <c r="A89" s="102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>
      <c r="A90" s="102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>
      <c r="A91" s="102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>
      <c r="A92" s="102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>
      <c r="A93" s="102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>
      <c r="A94" s="102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>
      <c r="A95" s="102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>
      <c r="A96" s="102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>
      <c r="A97" s="102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>
      <c r="A98" s="102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>
      <c r="A99" s="102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>
      <c r="A100" s="102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>
      <c r="A101" s="102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>
      <c r="A102" s="102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>
      <c r="A103" s="102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>
      <c r="A104" s="102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>
      <c r="A105" s="102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>
      <c r="A106" s="102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>
      <c r="A107" s="102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>
      <c r="A108" s="102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>
      <c r="A109" s="102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>
      <c r="A110" s="102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>
      <c r="A111" s="102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>
      <c r="A112" s="102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>
      <c r="A113" s="102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>
      <c r="A114" s="102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>
      <c r="A115" s="102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>
      <c r="A116" s="102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>
      <c r="A117" s="102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>
      <c r="A118" s="102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>
      <c r="A119" s="102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>
      <c r="A120" s="102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>
      <c r="A121" s="102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>
      <c r="A122" s="102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>
      <c r="A123" s="102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>
      <c r="A124" s="102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>
      <c r="A125" s="102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>
      <c r="A126" s="102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>
      <c r="A127" s="102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>
      <c r="A128" s="102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>
      <c r="A129" s="102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>
      <c r="A130" s="102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>
      <c r="A131" s="102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>
      <c r="A132" s="102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>
      <c r="A133" s="102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>
      <c r="A134" s="102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>
      <c r="A135" s="102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>
      <c r="A136" s="102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>
      <c r="A137" s="102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>
      <c r="A138" s="102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>
      <c r="A139" s="102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>
      <c r="A140" s="102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>
      <c r="A141" s="102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>
      <c r="A142" s="102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>
      <c r="A143" s="102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>
      <c r="A144" s="102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>
      <c r="A145" s="102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>
      <c r="A146" s="102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>
      <c r="A147" s="102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>
      <c r="A148" s="102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>
      <c r="A149" s="102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>
      <c r="A150" s="102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>
      <c r="A151" s="102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>
      <c r="A152" s="102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>
      <c r="A153" s="102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>
      <c r="A154" s="102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>
      <c r="A155" s="102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>
      <c r="A156" s="102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>
      <c r="A157" s="102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>
      <c r="A158" s="102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>
      <c r="A159" s="102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>
      <c r="A160" s="102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>
      <c r="A161" s="102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>
      <c r="A162" s="102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>
      <c r="A163" s="102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>
      <c r="A164" s="102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>
      <c r="A165" s="102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>
      <c r="A166" s="102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>
      <c r="A167" s="102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>
      <c r="A168" s="102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>
      <c r="A169" s="102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>
      <c r="A170" s="102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>
      <c r="A171" s="102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>
      <c r="A172" s="102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>
      <c r="A173" s="102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>
      <c r="A174" s="102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>
      <c r="A175" s="102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>
      <c r="A176" s="102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>
      <c r="A177" s="102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>
      <c r="A178" s="102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>
      <c r="A179" s="102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>
      <c r="A180" s="102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>
      <c r="A181" s="102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>
      <c r="A182" s="102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>
      <c r="A183" s="102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>
      <c r="A184" s="102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>
      <c r="A185" s="102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>
      <c r="A186" s="102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>
      <c r="A187" s="102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>
      <c r="A188" s="102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>
      <c r="A189" s="102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>
      <c r="A190" s="102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>
      <c r="A191" s="102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>
      <c r="A192" s="102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>
      <c r="A193" s="102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>
      <c r="A194" s="102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>
      <c r="A195" s="102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>
      <c r="A196" s="102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>
      <c r="A197" s="102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>
      <c r="A198" s="102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>
      <c r="A199" s="102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>
      <c r="A200" s="102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>
      <c r="A201" s="102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>
      <c r="A202" s="102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>
      <c r="A203" s="102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>
      <c r="A204" s="102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>
      <c r="A205" s="102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>
      <c r="A206" s="102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>
      <c r="A207" s="102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>
      <c r="A208" s="102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>
      <c r="A209" s="102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>
      <c r="A210" s="102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>
      <c r="A211" s="102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>
      <c r="A212" s="102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>
      <c r="A213" s="102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>
      <c r="A214" s="102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>
      <c r="A215" s="102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>
      <c r="A216" s="102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>
      <c r="A217" s="102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>
      <c r="A218" s="102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>
      <c r="A219" s="102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>
      <c r="A220" s="102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>
      <c r="A221" s="102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>
      <c r="A222" s="102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>
      <c r="A223" s="102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>
      <c r="A224" s="102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>
      <c r="A225" s="102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>
      <c r="A226" s="102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>
      <c r="A227" s="102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>
      <c r="A228" s="102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>
      <c r="A229" s="102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>
      <c r="A230" s="102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>
      <c r="A231" s="102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>
      <c r="A232" s="102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>
      <c r="A233" s="102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>
      <c r="A234" s="102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>
      <c r="A235" s="102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>
      <c r="A236" s="102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>
      <c r="A237" s="102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>
      <c r="A238" s="102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>
      <c r="A239" s="102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>
      <c r="A240" s="102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>
      <c r="A241" s="102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>
      <c r="A242" s="102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>
      <c r="A243" s="102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>
      <c r="A244" s="102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>
      <c r="A245" s="102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>
      <c r="A246" s="102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>
      <c r="A247" s="102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>
      <c r="A248" s="102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>
      <c r="A249" s="102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>
      <c r="A250" s="102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>
      <c r="A251" s="102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>
      <c r="A252" s="102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>
      <c r="A253" s="102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>
      <c r="A254" s="102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>
      <c r="A255" s="102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>
      <c r="A256" s="102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>
      <c r="A257" s="102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>
      <c r="A258" s="102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>
      <c r="A259" s="102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>
      <c r="A260" s="102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>
      <c r="A261" s="102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>
      <c r="A262" s="102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>
      <c r="A263" s="102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>
      <c r="A264" s="102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>
      <c r="A265" s="102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>
      <c r="A266" s="102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>
      <c r="A267" s="102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>
      <c r="A268" s="102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>
      <c r="A269" s="102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>
      <c r="A270" s="102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>
      <c r="A271" s="102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>
      <c r="A272" s="102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>
      <c r="A273" s="102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>
      <c r="A274" s="102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>
      <c r="A275" s="102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>
      <c r="A276" s="102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>
      <c r="A277" s="102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>
      <c r="A278" s="102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>
      <c r="A279" s="102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>
      <c r="A280" s="102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>
      <c r="A281" s="102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>
      <c r="A282" s="102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>
      <c r="A283" s="102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>
      <c r="A284" s="102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>
      <c r="A285" s="102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>
      <c r="A286" s="102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>
      <c r="A287" s="102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>
      <c r="A288" s="102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>
      <c r="A289" s="102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>
      <c r="A290" s="102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>
      <c r="A291" s="102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>
      <c r="A292" s="102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>
      <c r="A293" s="102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>
      <c r="A294" s="102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>
      <c r="A295" s="102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>
      <c r="A296" s="102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>
      <c r="A297" s="102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>
      <c r="A298" s="102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>
      <c r="A299" s="102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>
      <c r="A300" s="102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>
      <c r="A301" s="102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>
      <c r="A302" s="102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>
      <c r="A303" s="102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>
      <c r="A304" s="102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>
      <c r="A305" s="102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>
      <c r="A306" s="102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>
      <c r="A307" s="102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>
      <c r="A308" s="102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>
      <c r="A309" s="102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>
      <c r="A310" s="102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>
      <c r="A311" s="102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>
      <c r="A312" s="102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>
      <c r="A313" s="102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>
      <c r="A314" s="102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>
      <c r="A315" s="102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>
      <c r="A316" s="102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>
      <c r="A317" s="102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>
      <c r="A318" s="102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>
      <c r="A319" s="102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>
      <c r="A320" s="102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>
      <c r="A321" s="102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>
      <c r="A322" s="102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>
      <c r="A323" s="102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>
      <c r="A324" s="102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>
      <c r="A325" s="102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>
      <c r="A326" s="102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>
      <c r="A327" s="102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>
      <c r="A328" s="102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>
      <c r="A329" s="102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>
      <c r="A330" s="102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>
      <c r="A331" s="102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>
      <c r="A332" s="102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>
      <c r="A333" s="102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>
      <c r="A334" s="102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>
      <c r="A335" s="102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>
      <c r="A336" s="102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>
      <c r="A337" s="102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>
      <c r="A338" s="102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>
      <c r="A339" s="102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>
      <c r="A340" s="102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>
      <c r="A341" s="102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>
      <c r="A342" s="102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>
      <c r="A343" s="102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>
      <c r="A344" s="102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>
      <c r="A345" s="102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>
      <c r="A346" s="102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>
      <c r="A347" s="102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>
      <c r="A348" s="102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>
      <c r="A349" s="102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>
      <c r="A350" s="102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>
      <c r="A351" s="102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>
      <c r="A352" s="102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>
      <c r="A353" s="102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>
      <c r="A354" s="102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>
      <c r="A355" s="102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>
      <c r="A356" s="102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>
      <c r="A357" s="102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>
      <c r="A358" s="102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>
      <c r="A359" s="102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>
      <c r="A360" s="102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>
      <c r="A361" s="102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>
      <c r="A362" s="102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>
      <c r="A363" s="102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>
      <c r="A364" s="102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>
      <c r="A365" s="102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>
      <c r="A366" s="102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>
      <c r="A367" s="102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>
      <c r="A368" s="102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>
      <c r="A369" s="102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>
      <c r="A370" s="102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>
      <c r="A371" s="102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>
      <c r="A372" s="102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>
      <c r="A373" s="102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>
      <c r="A374" s="102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>
      <c r="A375" s="102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>
      <c r="A376" s="102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>
      <c r="A377" s="102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>
      <c r="A378" s="102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>
      <c r="A379" s="102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>
      <c r="A380" s="102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>
      <c r="A381" s="102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>
      <c r="A382" s="102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>
      <c r="A383" s="102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>
      <c r="A384" s="102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>
      <c r="A385" s="102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>
      <c r="A386" s="102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>
      <c r="A387" s="102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>
      <c r="A388" s="102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>
      <c r="A389" s="102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>
      <c r="A390" s="102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>
      <c r="A391" s="102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>
      <c r="A392" s="102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>
      <c r="A393" s="102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>
      <c r="A394" s="102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>
      <c r="A395" s="102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>
      <c r="A396" s="102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>
      <c r="A397" s="102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>
      <c r="A398" s="102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>
      <c r="A399" s="102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>
      <c r="A400" s="102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>
      <c r="A401" s="102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>
      <c r="A402" s="102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>
      <c r="A403" s="102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>
      <c r="A404" s="102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>
      <c r="A405" s="102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>
      <c r="A406" s="102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>
      <c r="A407" s="102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>
      <c r="A408" s="102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>
      <c r="A409" s="102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>
      <c r="A410" s="102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>
      <c r="A411" s="102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>
      <c r="A412" s="102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>
      <c r="A413" s="102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>
      <c r="A414" s="102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>
      <c r="A415" s="102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>
      <c r="A416" s="102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>
      <c r="A417" s="102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>
      <c r="A418" s="102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>
      <c r="A419" s="102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>
      <c r="A420" s="102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>
      <c r="A421" s="102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>
      <c r="A422" s="102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>
      <c r="A423" s="102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>
      <c r="A424" s="102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>
      <c r="A425" s="102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>
      <c r="A426" s="102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>
      <c r="A427" s="102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>
      <c r="A428" s="102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>
      <c r="A429" s="102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>
      <c r="A430" s="102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>
      <c r="A431" s="102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>
      <c r="A432" s="102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>
      <c r="A433" s="102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>
      <c r="A434" s="102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>
      <c r="A435" s="102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>
      <c r="A436" s="102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>
      <c r="A437" s="102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>
      <c r="A438" s="102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>
      <c r="A439" s="102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>
      <c r="A440" s="102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>
      <c r="A441" s="102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>
      <c r="A442" s="102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>
      <c r="A443" s="102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>
      <c r="A444" s="102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>
      <c r="A445" s="102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>
      <c r="A446" s="102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>
      <c r="A447" s="102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>
      <c r="A448" s="102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>
      <c r="A449" s="102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>
      <c r="A450" s="102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>
      <c r="A451" s="102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>
      <c r="A452" s="102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>
      <c r="A453" s="102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>
      <c r="A454" s="102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>
      <c r="A455" s="102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>
      <c r="A456" s="102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>
      <c r="A457" s="102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>
      <c r="A458" s="102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>
      <c r="A459" s="102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>
      <c r="A460" s="102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>
      <c r="A461" s="102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>
      <c r="A462" s="102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>
      <c r="A463" s="102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>
      <c r="A464" s="102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>
      <c r="A465" s="102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>
      <c r="A466" s="102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>
      <c r="A467" s="102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>
      <c r="A468" s="102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>
      <c r="A469" s="102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>
      <c r="A470" s="102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>
      <c r="A471" s="102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>
      <c r="A472" s="102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>
      <c r="A473" s="102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>
      <c r="A474" s="102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>
      <c r="A475" s="102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>
      <c r="A476" s="102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>
      <c r="A477" s="102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>
      <c r="A478" s="102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>
      <c r="A479" s="102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>
      <c r="A480" s="102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>
      <c r="A481" s="102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>
      <c r="A482" s="102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>
      <c r="A483" s="102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>
      <c r="A484" s="102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>
      <c r="A485" s="102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>
      <c r="A486" s="102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>
      <c r="A487" s="102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>
      <c r="A488" s="102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>
      <c r="A489" s="102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>
      <c r="A490" s="102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>
      <c r="A491" s="102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>
      <c r="A492" s="102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>
      <c r="A493" s="102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>
      <c r="A494" s="102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>
      <c r="A495" s="102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>
      <c r="A496" s="102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>
      <c r="A497" s="102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>
      <c r="A498" s="102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>
      <c r="A499" s="102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>
      <c r="A500" s="102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>
      <c r="A501" s="102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>
      <c r="A502" s="102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>
      <c r="A503" s="102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>
      <c r="A504" s="102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>
      <c r="A505" s="102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>
      <c r="A506" s="102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>
      <c r="A507" s="102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>
      <c r="A508" s="102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>
      <c r="A509" s="102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>
      <c r="A510" s="102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>
      <c r="A511" s="102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>
      <c r="A512" s="102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>
      <c r="A513" s="102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>
      <c r="A514" s="102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>
      <c r="A515" s="102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>
      <c r="A516" s="102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>
      <c r="A517" s="102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>
      <c r="A518" s="102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>
      <c r="A519" s="102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>
      <c r="A520" s="102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>
      <c r="A521" s="102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>
      <c r="A522" s="102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>
      <c r="A523" s="102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>
      <c r="A524" s="102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>
      <c r="A525" s="102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>
      <c r="A526" s="102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>
      <c r="A527" s="102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>
      <c r="A528" s="102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>
      <c r="A529" s="102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>
      <c r="A530" s="102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>
      <c r="A531" s="102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>
      <c r="A532" s="102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>
      <c r="A533" s="102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>
      <c r="A534" s="102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>
      <c r="A535" s="102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>
      <c r="A536" s="102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>
      <c r="A537" s="102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>
      <c r="A538" s="102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>
      <c r="A539" s="102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>
      <c r="A540" s="102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>
      <c r="A541" s="102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>
      <c r="A542" s="102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>
      <c r="A543" s="102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>
      <c r="A544" s="102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>
      <c r="A545" s="102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>
      <c r="A546" s="102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>
      <c r="A547" s="102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>
      <c r="A548" s="102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>
      <c r="A549" s="102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>
      <c r="A550" s="102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>
      <c r="A551" s="102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>
      <c r="A552" s="102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>
      <c r="A553" s="102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>
      <c r="A554" s="102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>
      <c r="A555" s="102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>
      <c r="A556" s="102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>
      <c r="A557" s="102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>
      <c r="A558" s="102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>
      <c r="A559" s="102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>
      <c r="A560" s="102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>
      <c r="A561" s="102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>
      <c r="A562" s="102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>
      <c r="A563" s="102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>
      <c r="A564" s="102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>
      <c r="A565" s="102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>
      <c r="A566" s="102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>
      <c r="A567" s="102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>
      <c r="A568" s="102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>
      <c r="A569" s="102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>
      <c r="A570" s="102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>
      <c r="A571" s="102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>
      <c r="A572" s="102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>
      <c r="A573" s="102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>
      <c r="A574" s="102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>
      <c r="A575" s="102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>
      <c r="A576" s="102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>
      <c r="A577" s="102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>
      <c r="A578" s="102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>
      <c r="A579" s="102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>
      <c r="A580" s="102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>
      <c r="A581" s="102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>
      <c r="A582" s="102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>
      <c r="A583" s="102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>
      <c r="A584" s="102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>
      <c r="A585" s="102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>
      <c r="A586" s="102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>
      <c r="A587" s="102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>
      <c r="A588" s="102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>
      <c r="A589" s="102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>
      <c r="A590" s="102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>
      <c r="A591" s="102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>
      <c r="A592" s="102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>
      <c r="A593" s="102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>
      <c r="A594" s="102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>
      <c r="A595" s="102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>
      <c r="A596" s="102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>
      <c r="A597" s="102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>
      <c r="A598" s="102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>
      <c r="A599" s="102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>
      <c r="A600" s="102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>
      <c r="A601" s="102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>
      <c r="A602" s="102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>
      <c r="A603" s="102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>
      <c r="A604" s="102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>
      <c r="A605" s="102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>
      <c r="A606" s="102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>
      <c r="A607" s="102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>
      <c r="A608" s="102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>
      <c r="A609" s="102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>
      <c r="A610" s="102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>
      <c r="A611" s="102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>
      <c r="A612" s="102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>
      <c r="A613" s="102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>
      <c r="A614" s="102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>
      <c r="A615" s="102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>
      <c r="A616" s="102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>
      <c r="A617" s="102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>
      <c r="A618" s="102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>
      <c r="A619" s="102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>
      <c r="A620" s="102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>
      <c r="A621" s="102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>
      <c r="A622" s="102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>
      <c r="A623" s="102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>
      <c r="A624" s="102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>
      <c r="A625" s="102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>
      <c r="A626" s="102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>
      <c r="A627" s="102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>
      <c r="A628" s="102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>
      <c r="A629" s="102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>
      <c r="A630" s="102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>
      <c r="A631" s="102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>
      <c r="A632" s="102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>
      <c r="A633" s="102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>
      <c r="A634" s="102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>
      <c r="A635" s="102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>
      <c r="A636" s="102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>
      <c r="A637" s="102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>
      <c r="A638" s="102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>
      <c r="A639" s="102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>
      <c r="A640" s="102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>
      <c r="A641" s="102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>
      <c r="A642" s="102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>
      <c r="A643" s="102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>
      <c r="A644" s="102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>
      <c r="A645" s="102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>
      <c r="A646" s="102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>
      <c r="A647" s="102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>
      <c r="A648" s="102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>
      <c r="A649" s="102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>
      <c r="A650" s="102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>
      <c r="A651" s="102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>
      <c r="A652" s="102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>
      <c r="A653" s="102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>
      <c r="A654" s="102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>
      <c r="A655" s="102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>
      <c r="A656" s="102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>
      <c r="A657" s="102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>
      <c r="A658" s="102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>
      <c r="A659" s="102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>
      <c r="A660" s="102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>
      <c r="A661" s="102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>
      <c r="A662" s="102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>
      <c r="A663" s="102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>
      <c r="A664" s="102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>
      <c r="A665" s="102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>
      <c r="A666" s="102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>
      <c r="A667" s="102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>
      <c r="A668" s="102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>
      <c r="A669" s="102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>
      <c r="A670" s="102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>
      <c r="A671" s="102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>
      <c r="A672" s="102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>
      <c r="A673" s="102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>
      <c r="A674" s="102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>
      <c r="A675" s="102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>
      <c r="A676" s="102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>
      <c r="A677" s="102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>
      <c r="A678" s="102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>
      <c r="A679" s="102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>
      <c r="A680" s="102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>
      <c r="A681" s="102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>
      <c r="A682" s="102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>
      <c r="A683" s="102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>
      <c r="A684" s="102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>
      <c r="A685" s="102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>
      <c r="A686" s="102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>
      <c r="A687" s="102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>
      <c r="A688" s="102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>
      <c r="A689" s="102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>
      <c r="A690" s="102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>
      <c r="A691" s="102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>
      <c r="A692" s="102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>
      <c r="A693" s="102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>
      <c r="A694" s="102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>
      <c r="A695" s="102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>
      <c r="A696" s="102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>
      <c r="A697" s="102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>
      <c r="A698" s="102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>
      <c r="A699" s="102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>
      <c r="A700" s="102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>
      <c r="A701" s="102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>
      <c r="A702" s="102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>
      <c r="A703" s="102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>
      <c r="A704" s="102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>
      <c r="A705" s="102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>
      <c r="A706" s="102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>
      <c r="A707" s="102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>
      <c r="A708" s="102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>
      <c r="A709" s="102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>
      <c r="A710" s="102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>
      <c r="A711" s="102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>
      <c r="A712" s="102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>
      <c r="A713" s="102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>
      <c r="A714" s="102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>
      <c r="A715" s="102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>
      <c r="A716" s="102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>
      <c r="A717" s="102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>
      <c r="A718" s="102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>
      <c r="A719" s="102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>
      <c r="A720" s="102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>
      <c r="A721" s="102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>
      <c r="A722" s="102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>
      <c r="A723" s="102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>
      <c r="A724" s="102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>
      <c r="A725" s="102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>
      <c r="A726" s="102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>
      <c r="A727" s="102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>
      <c r="A728" s="102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>
      <c r="A729" s="102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>
      <c r="A730" s="102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>
      <c r="A731" s="102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>
      <c r="A732" s="102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>
      <c r="A733" s="102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>
      <c r="A734" s="102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>
      <c r="A735" s="102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>
      <c r="A736" s="102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>
      <c r="A737" s="102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>
      <c r="A738" s="102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>
      <c r="A739" s="102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>
      <c r="A740" s="102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>
      <c r="A741" s="102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>
      <c r="A742" s="102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>
      <c r="A743" s="102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>
      <c r="A744" s="102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>
      <c r="A745" s="102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>
      <c r="A746" s="102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>
      <c r="A747" s="102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>
      <c r="A748" s="102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>
      <c r="A749" s="102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>
      <c r="A750" s="102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>
      <c r="A751" s="102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>
      <c r="A752" s="102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>
      <c r="A753" s="102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>
      <c r="A754" s="102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>
      <c r="A755" s="102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>
      <c r="A756" s="102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>
      <c r="A757" s="102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>
      <c r="A758" s="102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>
      <c r="A759" s="102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>
      <c r="A760" s="102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>
      <c r="A761" s="102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>
      <c r="A762" s="102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>
      <c r="A763" s="102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>
      <c r="A764" s="102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>
      <c r="A765" s="102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>
      <c r="A766" s="102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>
      <c r="A767" s="102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>
      <c r="A768" s="102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>
      <c r="A769" s="102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>
      <c r="A770" s="102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>
      <c r="A771" s="102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>
      <c r="A772" s="102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>
      <c r="A773" s="102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>
      <c r="A774" s="102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>
      <c r="A775" s="102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>
      <c r="A776" s="102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>
      <c r="A777" s="102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>
      <c r="A778" s="102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>
      <c r="A779" s="102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>
      <c r="A780" s="102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>
      <c r="A781" s="102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>
      <c r="A782" s="102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>
      <c r="A783" s="102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>
      <c r="A784" s="102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>
      <c r="A785" s="102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>
      <c r="A786" s="102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>
      <c r="A787" s="102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>
      <c r="A788" s="102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>
      <c r="A789" s="102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>
      <c r="A790" s="102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>
      <c r="A791" s="102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>
      <c r="A792" s="102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>
      <c r="A793" s="102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>
      <c r="A794" s="102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>
      <c r="A795" s="102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>
      <c r="A796" s="102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>
      <c r="A797" s="102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>
      <c r="A798" s="102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>
      <c r="A799" s="102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>
      <c r="A800" s="102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>
      <c r="A801" s="102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>
      <c r="A802" s="102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>
      <c r="A803" s="102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>
      <c r="A804" s="102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>
      <c r="A805" s="102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>
      <c r="A806" s="102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>
      <c r="A807" s="102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>
      <c r="A808" s="102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>
      <c r="A809" s="102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>
      <c r="A810" s="102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>
      <c r="A811" s="102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>
      <c r="A812" s="102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>
      <c r="A813" s="102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>
      <c r="A814" s="102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>
      <c r="A815" s="102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>
      <c r="A816" s="102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>
      <c r="A817" s="102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>
      <c r="A818" s="102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>
      <c r="A819" s="102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>
      <c r="A820" s="102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>
      <c r="A821" s="102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>
      <c r="A822" s="102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>
      <c r="A823" s="102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>
      <c r="A824" s="102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>
      <c r="A825" s="102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>
      <c r="A826" s="102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>
      <c r="A827" s="102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>
      <c r="A828" s="102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>
      <c r="A829" s="102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>
      <c r="A830" s="102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>
      <c r="A831" s="102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>
      <c r="A832" s="102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>
      <c r="A833" s="102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>
      <c r="A834" s="102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>
      <c r="A835" s="102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>
      <c r="A836" s="102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>
      <c r="A837" s="102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>
      <c r="A838" s="102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>
      <c r="A839" s="102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>
      <c r="A840" s="102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>
      <c r="A841" s="102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>
      <c r="A842" s="102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>
      <c r="A843" s="102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>
      <c r="A844" s="102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>
      <c r="A845" s="102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>
      <c r="A846" s="102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>
      <c r="A847" s="102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>
      <c r="A848" s="102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>
      <c r="A849" s="102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>
      <c r="A850" s="102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>
      <c r="A851" s="102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>
      <c r="A852" s="102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>
      <c r="A853" s="102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>
      <c r="A854" s="102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>
      <c r="A855" s="102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>
      <c r="A856" s="102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>
      <c r="A857" s="102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>
      <c r="A858" s="102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>
      <c r="A859" s="102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>
      <c r="A860" s="102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>
      <c r="A861" s="102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>
      <c r="A862" s="102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>
      <c r="A863" s="102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>
      <c r="A864" s="102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>
      <c r="A865" s="102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>
      <c r="A866" s="102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>
      <c r="A867" s="102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>
      <c r="A868" s="102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>
      <c r="A869" s="102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>
      <c r="A870" s="102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>
      <c r="A871" s="102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>
      <c r="A872" s="102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>
      <c r="A873" s="102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>
      <c r="A874" s="102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>
      <c r="A875" s="102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>
      <c r="A876" s="102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>
      <c r="A877" s="102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>
      <c r="A878" s="102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>
      <c r="A879" s="102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>
      <c r="A880" s="102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>
      <c r="A881" s="102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>
      <c r="A882" s="102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>
      <c r="A883" s="102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>
      <c r="A884" s="102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>
      <c r="A885" s="102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>
      <c r="A886" s="102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>
      <c r="A887" s="102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>
      <c r="A888" s="102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>
      <c r="A889" s="102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>
      <c r="A890" s="102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>
      <c r="A891" s="102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>
      <c r="A892" s="102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>
      <c r="A893" s="102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>
      <c r="A894" s="102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>
      <c r="A895" s="102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>
      <c r="A896" s="102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>
      <c r="A897" s="102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>
      <c r="A898" s="102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>
      <c r="A899" s="102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>
      <c r="A900" s="102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>
      <c r="A901" s="102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>
      <c r="A902" s="102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>
      <c r="A903" s="102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>
      <c r="A904" s="102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>
      <c r="A905" s="102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>
      <c r="A906" s="102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>
      <c r="A907" s="102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>
      <c r="A908" s="102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>
      <c r="A909" s="102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>
      <c r="A910" s="102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>
      <c r="A911" s="102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>
      <c r="A912" s="102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>
      <c r="A913" s="102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>
      <c r="A914" s="102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>
      <c r="A915" s="102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>
      <c r="A916" s="102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>
      <c r="A917" s="102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>
      <c r="A918" s="102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>
      <c r="A919" s="102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>
      <c r="A920" s="102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>
      <c r="A921" s="102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>
      <c r="A922" s="102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>
      <c r="A923" s="102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>
      <c r="A924" s="102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>
      <c r="A925" s="102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>
      <c r="A926" s="102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>
      <c r="A927" s="102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>
      <c r="A928" s="102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>
      <c r="A929" s="102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>
      <c r="A930" s="102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>
      <c r="A931" s="102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>
      <c r="A932" s="102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>
      <c r="A933" s="102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>
      <c r="A934" s="102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>
      <c r="A935" s="102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>
      <c r="A936" s="102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>
      <c r="A937" s="102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>
      <c r="A938" s="102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>
      <c r="A939" s="102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>
      <c r="A940" s="102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>
      <c r="A941" s="102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>
      <c r="A942" s="102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>
      <c r="A943" s="102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>
      <c r="A944" s="102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>
      <c r="A945" s="102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>
      <c r="A946" s="102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>
      <c r="A947" s="102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>
      <c r="A948" s="102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>
      <c r="A949" s="102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>
      <c r="A950" s="102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>
      <c r="A951" s="102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>
      <c r="A952" s="102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>
      <c r="A953" s="102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>
      <c r="A954" s="102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>
      <c r="A955" s="102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>
      <c r="A956" s="102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>
      <c r="A957" s="102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>
      <c r="A958" s="102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>
      <c r="A959" s="102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>
      <c r="A960" s="102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>
      <c r="A961" s="102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>
      <c r="A962" s="102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>
      <c r="A963" s="102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>
      <c r="A964" s="102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>
      <c r="A965" s="102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>
      <c r="A966" s="102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>
      <c r="A967" s="102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>
      <c r="A968" s="102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>
      <c r="A969" s="102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>
      <c r="A970" s="102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>
      <c r="A971" s="102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>
      <c r="A972" s="102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>
      <c r="A973" s="102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>
      <c r="A974" s="102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>
      <c r="A975" s="102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>
      <c r="A976" s="102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>
      <c r="A977" s="102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>
      <c r="A978" s="102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>
      <c r="A979" s="102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>
      <c r="A980" s="102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>
      <c r="A981" s="102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>
      <c r="A982" s="102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>
      <c r="A983" s="102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>
      <c r="A984" s="102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>
      <c r="A985" s="102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>
      <c r="A986" s="102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>
      <c r="A987" s="102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>
      <c r="A988" s="102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>
      <c r="A989" s="102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>
      <c r="A990" s="102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>
      <c r="A991" s="102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>
      <c r="A992" s="102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>
      <c r="A993" s="102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>
      <c r="A994" s="102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>
      <c r="A995" s="102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>
      <c r="A996" s="102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>
      <c r="A997" s="102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>
      <c r="A998" s="102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>
      <c r="A999" s="102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>
      <c r="A1000" s="102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  <row r="1001">
      <c r="A1001" s="102"/>
      <c r="B1001" s="85"/>
      <c r="C1001" s="85"/>
      <c r="D1001" s="85"/>
      <c r="E1001" s="85"/>
      <c r="F1001" s="85"/>
      <c r="G1001" s="85"/>
      <c r="H1001" s="85"/>
      <c r="I1001" s="85"/>
      <c r="J1001" s="85"/>
      <c r="K1001" s="85"/>
      <c r="L1001" s="85"/>
      <c r="M1001" s="85"/>
      <c r="N1001" s="85"/>
      <c r="O1001" s="85"/>
      <c r="P1001" s="85"/>
      <c r="Q1001" s="85"/>
      <c r="R1001" s="85"/>
      <c r="S1001" s="85"/>
      <c r="T1001" s="85"/>
      <c r="U1001" s="85"/>
      <c r="V1001" s="85"/>
      <c r="W1001" s="85"/>
      <c r="X1001" s="85"/>
      <c r="Y1001" s="85"/>
      <c r="Z1001" s="85"/>
    </row>
    <row r="1002">
      <c r="A1002" s="102"/>
      <c r="B1002" s="85"/>
      <c r="C1002" s="85"/>
      <c r="D1002" s="85"/>
      <c r="E1002" s="85"/>
      <c r="F1002" s="85"/>
      <c r="G1002" s="85"/>
      <c r="H1002" s="85"/>
      <c r="I1002" s="85"/>
      <c r="J1002" s="85"/>
      <c r="K1002" s="85"/>
      <c r="L1002" s="85"/>
      <c r="M1002" s="85"/>
      <c r="N1002" s="85"/>
      <c r="O1002" s="85"/>
      <c r="P1002" s="85"/>
      <c r="Q1002" s="85"/>
      <c r="R1002" s="85"/>
      <c r="S1002" s="85"/>
      <c r="T1002" s="85"/>
      <c r="U1002" s="85"/>
      <c r="V1002" s="85"/>
      <c r="W1002" s="85"/>
      <c r="X1002" s="85"/>
      <c r="Y1002" s="85"/>
      <c r="Z1002" s="85"/>
    </row>
    <row r="1003">
      <c r="A1003" s="102"/>
      <c r="B1003" s="85"/>
      <c r="C1003" s="85"/>
      <c r="D1003" s="85"/>
      <c r="E1003" s="85"/>
      <c r="F1003" s="85"/>
      <c r="G1003" s="85"/>
      <c r="H1003" s="85"/>
      <c r="I1003" s="85"/>
      <c r="J1003" s="85"/>
      <c r="K1003" s="85"/>
      <c r="L1003" s="85"/>
      <c r="M1003" s="85"/>
      <c r="N1003" s="85"/>
      <c r="O1003" s="85"/>
      <c r="P1003" s="85"/>
      <c r="Q1003" s="85"/>
      <c r="R1003" s="85"/>
      <c r="S1003" s="85"/>
      <c r="T1003" s="85"/>
      <c r="U1003" s="85"/>
      <c r="V1003" s="85"/>
      <c r="W1003" s="85"/>
      <c r="X1003" s="85"/>
      <c r="Y1003" s="85"/>
      <c r="Z1003" s="85"/>
    </row>
    <row r="1004">
      <c r="A1004" s="102"/>
      <c r="B1004" s="85"/>
      <c r="C1004" s="85"/>
      <c r="D1004" s="85"/>
      <c r="E1004" s="85"/>
      <c r="F1004" s="85"/>
      <c r="G1004" s="85"/>
      <c r="H1004" s="85"/>
      <c r="I1004" s="85"/>
      <c r="J1004" s="85"/>
      <c r="K1004" s="85"/>
      <c r="L1004" s="85"/>
      <c r="M1004" s="85"/>
      <c r="N1004" s="85"/>
      <c r="O1004" s="85"/>
      <c r="P1004" s="85"/>
      <c r="Q1004" s="85"/>
      <c r="R1004" s="85"/>
      <c r="S1004" s="85"/>
      <c r="T1004" s="85"/>
      <c r="U1004" s="85"/>
      <c r="V1004" s="85"/>
      <c r="W1004" s="85"/>
      <c r="X1004" s="85"/>
      <c r="Y1004" s="85"/>
      <c r="Z1004" s="85"/>
    </row>
    <row r="1005">
      <c r="A1005" s="102"/>
      <c r="B1005" s="85"/>
      <c r="C1005" s="85"/>
      <c r="D1005" s="85"/>
      <c r="E1005" s="85"/>
      <c r="F1005" s="85"/>
      <c r="G1005" s="85"/>
      <c r="H1005" s="85"/>
      <c r="I1005" s="85"/>
      <c r="J1005" s="85"/>
      <c r="K1005" s="85"/>
      <c r="L1005" s="85"/>
      <c r="M1005" s="85"/>
      <c r="N1005" s="85"/>
      <c r="O1005" s="85"/>
      <c r="P1005" s="85"/>
      <c r="Q1005" s="85"/>
      <c r="R1005" s="85"/>
      <c r="S1005" s="85"/>
      <c r="T1005" s="85"/>
      <c r="U1005" s="85"/>
      <c r="V1005" s="85"/>
      <c r="W1005" s="85"/>
      <c r="X1005" s="85"/>
      <c r="Y1005" s="85"/>
      <c r="Z1005" s="85"/>
    </row>
  </sheetData>
  <mergeCells count="14">
    <mergeCell ref="C61:E61"/>
    <mergeCell ref="F61:G61"/>
    <mergeCell ref="H61:I61"/>
    <mergeCell ref="J61:K61"/>
    <mergeCell ref="L61:M61"/>
    <mergeCell ref="N61:O61"/>
    <mergeCell ref="P61:Q61"/>
    <mergeCell ref="A1:A3"/>
    <mergeCell ref="B1:Y1"/>
    <mergeCell ref="B2:I2"/>
    <mergeCell ref="J2:K2"/>
    <mergeCell ref="L2:M2"/>
    <mergeCell ref="N2:P2"/>
    <mergeCell ref="R2:X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